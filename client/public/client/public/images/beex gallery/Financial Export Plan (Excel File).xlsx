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/>
  <xr:revisionPtr revIDLastSave="0" documentId="13_ncr:1_{F6086367-FA84-4F56-A9BA-14AF3A954FBE}" xr6:coauthVersionLast="47" xr6:coauthVersionMax="47" xr10:uidLastSave="{00000000-0000-0000-0000-000000000000}"/>
  <bookViews>
    <workbookView xWindow="-108" yWindow="-108" windowWidth="30936" windowHeight="16776" tabRatio="731" activeTab="1" xr2:uid="{00000000-000D-0000-FFFF-FFFF00000000}"/>
  </bookViews>
  <sheets>
    <sheet name="Title Page" sheetId="1" r:id="rId1"/>
    <sheet name="inv+fin. budget" sheetId="3" r:id="rId2"/>
    <sheet name="Balances" sheetId="5" r:id="rId3"/>
    <sheet name="Cost price or Hourly rate" sheetId="6" r:id="rId4"/>
    <sheet name="P&amp;L" sheetId="7" r:id="rId5"/>
    <sheet name="Cash Flow" sheetId="8" r:id="rId6"/>
    <sheet name="Evaluation" sheetId="9" r:id="rId7"/>
    <sheet name="Calculation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5" l="1"/>
  <c r="F33" i="5" s="1"/>
  <c r="B41" i="7"/>
  <c r="B33" i="8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M77" i="6"/>
  <c r="L77" i="6"/>
  <c r="K77" i="6"/>
  <c r="J77" i="6"/>
  <c r="I77" i="6"/>
  <c r="H77" i="6"/>
  <c r="G77" i="6"/>
  <c r="F77" i="6"/>
  <c r="E77" i="6"/>
  <c r="D77" i="6"/>
  <c r="C77" i="6"/>
  <c r="B77" i="6"/>
  <c r="B32" i="5"/>
  <c r="G23" i="6"/>
  <c r="C38" i="6"/>
  <c r="F38" i="6" s="1"/>
  <c r="C39" i="6"/>
  <c r="E39" i="6" s="1"/>
  <c r="L80" i="6"/>
  <c r="L81" i="6"/>
  <c r="L82" i="6"/>
  <c r="B80" i="6"/>
  <c r="C80" i="6"/>
  <c r="D80" i="6"/>
  <c r="E80" i="6"/>
  <c r="F80" i="6"/>
  <c r="G80" i="6"/>
  <c r="H80" i="6"/>
  <c r="I80" i="6"/>
  <c r="J80" i="6"/>
  <c r="K80" i="6"/>
  <c r="M80" i="6"/>
  <c r="B81" i="6"/>
  <c r="C81" i="6"/>
  <c r="D81" i="6"/>
  <c r="E81" i="6"/>
  <c r="F81" i="6"/>
  <c r="G81" i="6"/>
  <c r="H81" i="6"/>
  <c r="I81" i="6"/>
  <c r="J81" i="6"/>
  <c r="K81" i="6"/>
  <c r="M81" i="6"/>
  <c r="B82" i="6"/>
  <c r="C82" i="6"/>
  <c r="D82" i="6"/>
  <c r="E82" i="6"/>
  <c r="F82" i="6"/>
  <c r="G82" i="6"/>
  <c r="H82" i="6"/>
  <c r="I82" i="6"/>
  <c r="J82" i="6"/>
  <c r="K82" i="6"/>
  <c r="M82" i="6"/>
  <c r="N74" i="6"/>
  <c r="N75" i="6"/>
  <c r="N76" i="6"/>
  <c r="D61" i="6"/>
  <c r="F61" i="6"/>
  <c r="D62" i="6"/>
  <c r="F62" i="6"/>
  <c r="D63" i="6"/>
  <c r="F63" i="6"/>
  <c r="A76" i="6"/>
  <c r="A82" i="6"/>
  <c r="E38" i="6" l="1"/>
  <c r="N77" i="6"/>
  <c r="F39" i="6"/>
  <c r="L39" i="3" l="1"/>
  <c r="M39" i="3"/>
  <c r="N39" i="3" s="1"/>
  <c r="J40" i="3"/>
  <c r="M40" i="3" s="1"/>
  <c r="N40" i="3" s="1"/>
  <c r="L40" i="3"/>
  <c r="N41" i="3"/>
  <c r="B6" i="5"/>
  <c r="B7" i="5"/>
  <c r="B17" i="5"/>
  <c r="A17" i="5"/>
  <c r="D18" i="5"/>
  <c r="E18" i="5"/>
  <c r="A6" i="5"/>
  <c r="D6" i="5"/>
  <c r="E6" i="5"/>
  <c r="A7" i="5"/>
  <c r="D14" i="5"/>
  <c r="E14" i="5"/>
  <c r="A16" i="5"/>
  <c r="M45" i="3" l="1"/>
  <c r="B15" i="3" s="1"/>
  <c r="B13" i="5" s="1"/>
  <c r="L45" i="3"/>
  <c r="S51" i="3" l="1"/>
  <c r="T51" i="3"/>
  <c r="J51" i="3"/>
  <c r="K51" i="3"/>
  <c r="L51" i="3"/>
  <c r="M51" i="3"/>
  <c r="N51" i="3"/>
  <c r="O51" i="3"/>
  <c r="P51" i="3"/>
  <c r="Q51" i="3"/>
  <c r="R51" i="3"/>
  <c r="I49" i="3"/>
  <c r="I51" i="3" s="1"/>
  <c r="M50" i="3"/>
  <c r="K50" i="3"/>
  <c r="J50" i="3"/>
  <c r="I50" i="3"/>
  <c r="B21" i="6" l="1"/>
  <c r="D21" i="6" s="1"/>
  <c r="F21" i="6" s="1"/>
  <c r="F23" i="6" s="1"/>
  <c r="B39" i="5" l="1"/>
  <c r="C8" i="6"/>
  <c r="C3" i="6"/>
  <c r="C4" i="6"/>
  <c r="C5" i="6"/>
  <c r="C6" i="6"/>
  <c r="C7" i="6"/>
  <c r="C9" i="6"/>
  <c r="C10" i="6"/>
  <c r="C11" i="6"/>
  <c r="C12" i="6"/>
  <c r="C13" i="6"/>
  <c r="C15" i="6"/>
  <c r="C16" i="6"/>
  <c r="C17" i="6"/>
  <c r="C18" i="6"/>
  <c r="C19" i="6"/>
  <c r="C20" i="6"/>
  <c r="E43" i="5"/>
  <c r="G38" i="6"/>
  <c r="X49" i="3"/>
  <c r="E20" i="3"/>
  <c r="A31" i="5"/>
  <c r="E31" i="5"/>
  <c r="A14" i="8"/>
  <c r="A7" i="8"/>
  <c r="A6" i="8"/>
  <c r="A5" i="8"/>
  <c r="I32" i="3"/>
  <c r="I24" i="3"/>
  <c r="E23" i="3" l="1"/>
  <c r="E21" i="5" s="1"/>
  <c r="B4" i="9" s="1"/>
  <c r="B22" i="8"/>
  <c r="C27" i="7"/>
  <c r="D27" i="7"/>
  <c r="E27" i="7"/>
  <c r="F27" i="7"/>
  <c r="G27" i="7"/>
  <c r="H27" i="7"/>
  <c r="I27" i="7"/>
  <c r="J27" i="7"/>
  <c r="K27" i="7"/>
  <c r="L27" i="7"/>
  <c r="M27" i="7"/>
  <c r="B27" i="7"/>
  <c r="C26" i="7"/>
  <c r="D26" i="7"/>
  <c r="E26" i="7"/>
  <c r="F26" i="7"/>
  <c r="G26" i="7"/>
  <c r="H26" i="7"/>
  <c r="I26" i="7"/>
  <c r="J26" i="7"/>
  <c r="K26" i="7"/>
  <c r="L26" i="7"/>
  <c r="M26" i="7"/>
  <c r="B26" i="7"/>
  <c r="C25" i="7"/>
  <c r="D25" i="7"/>
  <c r="E25" i="7"/>
  <c r="F25" i="7"/>
  <c r="G25" i="7"/>
  <c r="H25" i="7"/>
  <c r="I25" i="7"/>
  <c r="J25" i="7"/>
  <c r="K25" i="7"/>
  <c r="L25" i="7"/>
  <c r="M25" i="7"/>
  <c r="B25" i="7"/>
  <c r="C24" i="7"/>
  <c r="D24" i="7"/>
  <c r="E24" i="7"/>
  <c r="F24" i="7"/>
  <c r="G24" i="7"/>
  <c r="H24" i="7"/>
  <c r="I24" i="7"/>
  <c r="J24" i="7"/>
  <c r="K24" i="7"/>
  <c r="L24" i="7"/>
  <c r="M24" i="7"/>
  <c r="B24" i="7"/>
  <c r="B23" i="7"/>
  <c r="C23" i="7"/>
  <c r="D23" i="7"/>
  <c r="E23" i="7"/>
  <c r="F23" i="7"/>
  <c r="G23" i="7"/>
  <c r="H23" i="7"/>
  <c r="I23" i="7"/>
  <c r="J23" i="7"/>
  <c r="K23" i="7"/>
  <c r="L23" i="7"/>
  <c r="M23" i="7"/>
  <c r="A24" i="7"/>
  <c r="A16" i="8" s="1"/>
  <c r="A25" i="7"/>
  <c r="A17" i="8" s="1"/>
  <c r="A26" i="7"/>
  <c r="A18" i="8" s="1"/>
  <c r="A27" i="7"/>
  <c r="A19" i="8" s="1"/>
  <c r="A28" i="7"/>
  <c r="A20" i="8" s="1"/>
  <c r="A23" i="7"/>
  <c r="A15" i="8" s="1"/>
  <c r="A21" i="7"/>
  <c r="A13" i="7"/>
  <c r="A12" i="7"/>
  <c r="A11" i="7"/>
  <c r="A5" i="7"/>
  <c r="L27" i="3"/>
  <c r="J27" i="3"/>
  <c r="A6" i="7"/>
  <c r="A7" i="7"/>
  <c r="D30" i="6"/>
  <c r="N27" i="7" s="1"/>
  <c r="D26" i="6"/>
  <c r="N23" i="7" s="1"/>
  <c r="D27" i="6"/>
  <c r="N24" i="7" s="1"/>
  <c r="D28" i="6"/>
  <c r="N25" i="7" s="1"/>
  <c r="B45" i="6"/>
  <c r="A11" i="6"/>
  <c r="A12" i="6"/>
  <c r="A13" i="6"/>
  <c r="A14" i="6"/>
  <c r="A15" i="6"/>
  <c r="A16" i="6"/>
  <c r="A17" i="6"/>
  <c r="A18" i="6"/>
  <c r="A19" i="6"/>
  <c r="A20" i="6"/>
  <c r="A4" i="6"/>
  <c r="A5" i="6"/>
  <c r="A6" i="6"/>
  <c r="A7" i="6"/>
  <c r="A8" i="6"/>
  <c r="A9" i="6"/>
  <c r="A10" i="6"/>
  <c r="A3" i="6"/>
  <c r="A21" i="6"/>
  <c r="J4" i="3"/>
  <c r="M4" i="3" s="1"/>
  <c r="D29" i="6"/>
  <c r="N26" i="7" s="1"/>
  <c r="L50" i="3"/>
  <c r="N50" i="3"/>
  <c r="O50" i="3"/>
  <c r="P50" i="3"/>
  <c r="Q50" i="3"/>
  <c r="R50" i="3"/>
  <c r="S50" i="3"/>
  <c r="T50" i="3"/>
  <c r="L28" i="3"/>
  <c r="N28" i="3" s="1"/>
  <c r="J19" i="3"/>
  <c r="M19" i="3" s="1"/>
  <c r="B16" i="6" s="1"/>
  <c r="D16" i="6" s="1"/>
  <c r="F16" i="6" s="1"/>
  <c r="J20" i="3"/>
  <c r="M20" i="3" s="1"/>
  <c r="B17" i="6" s="1"/>
  <c r="D17" i="6" s="1"/>
  <c r="F17" i="6" s="1"/>
  <c r="J21" i="3"/>
  <c r="M21" i="3" s="1"/>
  <c r="B18" i="6" s="1"/>
  <c r="D18" i="6" s="1"/>
  <c r="F18" i="6" s="1"/>
  <c r="J28" i="3"/>
  <c r="M28" i="3" s="1"/>
  <c r="B20" i="6" s="1"/>
  <c r="D20" i="6" s="1"/>
  <c r="F20" i="6" s="1"/>
  <c r="L18" i="3"/>
  <c r="L19" i="3"/>
  <c r="L20" i="3"/>
  <c r="L21" i="3"/>
  <c r="L13" i="3"/>
  <c r="L14" i="3"/>
  <c r="L15" i="3"/>
  <c r="N15" i="3" s="1"/>
  <c r="L16" i="3"/>
  <c r="N16" i="3" s="1"/>
  <c r="L5" i="3"/>
  <c r="N5" i="3" s="1"/>
  <c r="L6" i="3"/>
  <c r="N6" i="3" s="1"/>
  <c r="L7" i="3"/>
  <c r="N7" i="3" s="1"/>
  <c r="L8" i="3"/>
  <c r="L9" i="3"/>
  <c r="L10" i="3"/>
  <c r="L11" i="3"/>
  <c r="L4" i="3"/>
  <c r="J7" i="3"/>
  <c r="M7" i="3" s="1"/>
  <c r="B6" i="6" s="1"/>
  <c r="D6" i="6" s="1"/>
  <c r="F6" i="6" s="1"/>
  <c r="J8" i="3"/>
  <c r="M8" i="3" s="1"/>
  <c r="B7" i="6" s="1"/>
  <c r="D7" i="6" s="1"/>
  <c r="F7" i="6" s="1"/>
  <c r="J9" i="3"/>
  <c r="M9" i="3" s="1"/>
  <c r="B8" i="6" s="1"/>
  <c r="D8" i="6" s="1"/>
  <c r="F8" i="6" s="1"/>
  <c r="J10" i="3"/>
  <c r="M10" i="3" s="1"/>
  <c r="B9" i="6" s="1"/>
  <c r="D9" i="6" s="1"/>
  <c r="F9" i="6" s="1"/>
  <c r="J11" i="3"/>
  <c r="M11" i="3" s="1"/>
  <c r="B10" i="6" s="1"/>
  <c r="D10" i="6" s="1"/>
  <c r="F10" i="6" s="1"/>
  <c r="J13" i="3"/>
  <c r="M13" i="3" s="1"/>
  <c r="B11" i="6" s="1"/>
  <c r="D11" i="6" s="1"/>
  <c r="F11" i="6" s="1"/>
  <c r="J14" i="3"/>
  <c r="M14" i="3" s="1"/>
  <c r="B12" i="6" s="1"/>
  <c r="D12" i="6" s="1"/>
  <c r="F12" i="6" s="1"/>
  <c r="J15" i="3"/>
  <c r="M15" i="3" s="1"/>
  <c r="B13" i="6" s="1"/>
  <c r="D13" i="6" s="1"/>
  <c r="F13" i="6" s="1"/>
  <c r="J16" i="3"/>
  <c r="M16" i="3" s="1"/>
  <c r="B14" i="6" s="1"/>
  <c r="D14" i="6" s="1"/>
  <c r="F14" i="6" s="1"/>
  <c r="J18" i="3"/>
  <c r="M18" i="3" s="1"/>
  <c r="B15" i="6" s="1"/>
  <c r="D15" i="6" s="1"/>
  <c r="F15" i="6" s="1"/>
  <c r="J6" i="3"/>
  <c r="M6" i="3" s="1"/>
  <c r="B5" i="6" s="1"/>
  <c r="D5" i="6" s="1"/>
  <c r="F5" i="6" s="1"/>
  <c r="J5" i="3"/>
  <c r="M5" i="3" s="1"/>
  <c r="B4" i="6" s="1"/>
  <c r="D4" i="6" s="1"/>
  <c r="F4" i="6" s="1"/>
  <c r="C16" i="8" l="1"/>
  <c r="C19" i="8"/>
  <c r="C17" i="8"/>
  <c r="F45" i="6"/>
  <c r="G39" i="6"/>
  <c r="G45" i="6" s="1"/>
  <c r="B52" i="6" s="1"/>
  <c r="C18" i="8"/>
  <c r="B16" i="8"/>
  <c r="B19" i="8"/>
  <c r="N14" i="3"/>
  <c r="N21" i="3"/>
  <c r="N11" i="3"/>
  <c r="N20" i="3"/>
  <c r="N10" i="3"/>
  <c r="N19" i="3"/>
  <c r="N9" i="3"/>
  <c r="N8" i="3"/>
  <c r="B17" i="8"/>
  <c r="B18" i="8"/>
  <c r="E16" i="8"/>
  <c r="E17" i="8"/>
  <c r="E18" i="8"/>
  <c r="E19" i="8"/>
  <c r="D16" i="8"/>
  <c r="D17" i="8"/>
  <c r="D18" i="8"/>
  <c r="D19" i="8"/>
  <c r="E15" i="8"/>
  <c r="D15" i="8"/>
  <c r="C15" i="8"/>
  <c r="B15" i="8"/>
  <c r="D21" i="8"/>
  <c r="C21" i="8"/>
  <c r="J49" i="3"/>
  <c r="K49" i="3" s="1"/>
  <c r="D28" i="7" s="1"/>
  <c r="V50" i="3"/>
  <c r="E39" i="5" s="1"/>
  <c r="B21" i="8"/>
  <c r="L24" i="3"/>
  <c r="E21" i="8"/>
  <c r="M27" i="3"/>
  <c r="J32" i="3"/>
  <c r="B3" i="6"/>
  <c r="D3" i="6" s="1"/>
  <c r="F3" i="6" s="1"/>
  <c r="M24" i="3"/>
  <c r="B6" i="3" s="1"/>
  <c r="J24" i="3"/>
  <c r="L32" i="3"/>
  <c r="B28" i="7"/>
  <c r="C45" i="6"/>
  <c r="N13" i="3"/>
  <c r="N18" i="3"/>
  <c r="N4" i="3"/>
  <c r="B31" i="5" l="1"/>
  <c r="N22" i="7"/>
  <c r="F22" i="7" s="1"/>
  <c r="N27" i="3"/>
  <c r="N32" i="3" s="1"/>
  <c r="M32" i="3"/>
  <c r="B7" i="3" s="1"/>
  <c r="C28" i="7"/>
  <c r="B20" i="8" s="1"/>
  <c r="N24" i="3"/>
  <c r="N45" i="3"/>
  <c r="B13" i="3" s="1"/>
  <c r="B19" i="6"/>
  <c r="D19" i="6" s="1"/>
  <c r="F19" i="6" s="1"/>
  <c r="E45" i="6"/>
  <c r="L49" i="3"/>
  <c r="M49" i="3" s="1"/>
  <c r="H22" i="7" l="1"/>
  <c r="C22" i="7"/>
  <c r="N21" i="7"/>
  <c r="L22" i="7"/>
  <c r="J22" i="7"/>
  <c r="K22" i="7"/>
  <c r="M22" i="7"/>
  <c r="B22" i="7"/>
  <c r="E22" i="7"/>
  <c r="G22" i="7"/>
  <c r="D22" i="7"/>
  <c r="I22" i="7"/>
  <c r="B8" i="8"/>
  <c r="B12" i="5"/>
  <c r="E14" i="8"/>
  <c r="B50" i="6"/>
  <c r="E28" i="7"/>
  <c r="N49" i="3"/>
  <c r="F28" i="7"/>
  <c r="D14" i="8" l="1"/>
  <c r="B14" i="8"/>
  <c r="C14" i="8"/>
  <c r="B18" i="3"/>
  <c r="B16" i="5" s="1"/>
  <c r="O49" i="3"/>
  <c r="G28" i="7"/>
  <c r="B7" i="9" l="1"/>
  <c r="B5" i="9"/>
  <c r="B6" i="9" s="1"/>
  <c r="G21" i="7"/>
  <c r="G30" i="7" s="1"/>
  <c r="K21" i="7"/>
  <c r="J21" i="7"/>
  <c r="B21" i="7"/>
  <c r="B30" i="7" s="1"/>
  <c r="H21" i="7"/>
  <c r="H30" i="7" s="1"/>
  <c r="F21" i="7"/>
  <c r="F30" i="7" s="1"/>
  <c r="E21" i="7"/>
  <c r="E30" i="7" s="1"/>
  <c r="L21" i="7"/>
  <c r="I21" i="7"/>
  <c r="M21" i="7"/>
  <c r="C21" i="7"/>
  <c r="C30" i="7" s="1"/>
  <c r="D21" i="7"/>
  <c r="D30" i="7" s="1"/>
  <c r="C20" i="8"/>
  <c r="P49" i="3"/>
  <c r="H28" i="7"/>
  <c r="Q49" i="3" l="1"/>
  <c r="I28" i="7"/>
  <c r="I30" i="7" s="1"/>
  <c r="R49" i="3" l="1"/>
  <c r="J28" i="7"/>
  <c r="J30" i="7" s="1"/>
  <c r="D20" i="8" l="1"/>
  <c r="S49" i="3"/>
  <c r="K28" i="7"/>
  <c r="K30" i="7" s="1"/>
  <c r="T49" i="3" l="1"/>
  <c r="V49" i="3" s="1"/>
  <c r="L28" i="7"/>
  <c r="L30" i="7" s="1"/>
  <c r="B23" i="3"/>
  <c r="B21" i="5" s="1"/>
  <c r="V51" i="3" l="1"/>
  <c r="N28" i="7" s="1"/>
  <c r="N30" i="7" s="1"/>
  <c r="B3" i="8"/>
  <c r="I53" i="3" l="1"/>
  <c r="B31" i="6" s="1"/>
  <c r="D31" i="6" s="1"/>
  <c r="M28" i="7"/>
  <c r="M30" i="7" s="1"/>
  <c r="B36" i="6" l="1"/>
  <c r="E20" i="8"/>
  <c r="D36" i="6"/>
  <c r="B51" i="6" s="1"/>
  <c r="B55" i="6" s="1"/>
  <c r="G62" i="6" l="1"/>
  <c r="H62" i="6" s="1"/>
  <c r="I62" i="6" s="1"/>
  <c r="K62" i="6" s="1"/>
  <c r="G61" i="6"/>
  <c r="H61" i="6" s="1"/>
  <c r="I61" i="6" s="1"/>
  <c r="K61" i="6" s="1"/>
  <c r="G63" i="6"/>
  <c r="H63" i="6" s="1"/>
  <c r="I63" i="6" s="1"/>
  <c r="K63" i="6" s="1"/>
  <c r="J12" i="7" l="1"/>
  <c r="C11" i="7"/>
  <c r="K13" i="7"/>
  <c r="L13" i="7"/>
  <c r="L11" i="7"/>
  <c r="N11" i="7"/>
  <c r="L12" i="7"/>
  <c r="D11" i="7"/>
  <c r="F11" i="7"/>
  <c r="B11" i="7"/>
  <c r="D13" i="7"/>
  <c r="C12" i="7"/>
  <c r="C13" i="7"/>
  <c r="J13" i="7"/>
  <c r="I12" i="7"/>
  <c r="H12" i="7"/>
  <c r="N13" i="7"/>
  <c r="K11" i="7"/>
  <c r="J11" i="7"/>
  <c r="G12" i="7"/>
  <c r="G13" i="7"/>
  <c r="I11" i="7"/>
  <c r="F12" i="7"/>
  <c r="F13" i="7"/>
  <c r="N12" i="7"/>
  <c r="G11" i="7"/>
  <c r="B13" i="7"/>
  <c r="E11" i="7"/>
  <c r="D12" i="7"/>
  <c r="M11" i="7"/>
  <c r="I13" i="7"/>
  <c r="H13" i="7"/>
  <c r="H11" i="7"/>
  <c r="E13" i="7"/>
  <c r="E12" i="7"/>
  <c r="M13" i="7"/>
  <c r="B12" i="7"/>
  <c r="M12" i="7"/>
  <c r="K12" i="7"/>
  <c r="L6" i="7" l="1"/>
  <c r="L62" i="6"/>
  <c r="B9" i="9" s="1"/>
  <c r="N5" i="7"/>
  <c r="L5" i="7"/>
  <c r="L61" i="6"/>
  <c r="B8" i="9" s="1"/>
  <c r="L7" i="7"/>
  <c r="L63" i="6"/>
  <c r="B10" i="9" s="1"/>
  <c r="F6" i="7"/>
  <c r="D7" i="7"/>
  <c r="G5" i="7"/>
  <c r="E5" i="7"/>
  <c r="M6" i="7"/>
  <c r="I6" i="7"/>
  <c r="H6" i="7"/>
  <c r="K6" i="7"/>
  <c r="E6" i="7"/>
  <c r="D6" i="7"/>
  <c r="B5" i="7"/>
  <c r="K5" i="7"/>
  <c r="C5" i="7"/>
  <c r="F5" i="7"/>
  <c r="K15" i="7"/>
  <c r="D5" i="7"/>
  <c r="G6" i="7"/>
  <c r="C6" i="7"/>
  <c r="N6" i="7"/>
  <c r="H15" i="7"/>
  <c r="C15" i="7"/>
  <c r="J7" i="7"/>
  <c r="M15" i="7"/>
  <c r="B15" i="7"/>
  <c r="E15" i="7"/>
  <c r="D15" i="7"/>
  <c r="N15" i="7"/>
  <c r="J6" i="7"/>
  <c r="M5" i="7"/>
  <c r="G15" i="7"/>
  <c r="J5" i="7"/>
  <c r="B7" i="7"/>
  <c r="I5" i="7"/>
  <c r="L15" i="7"/>
  <c r="B6" i="7"/>
  <c r="H5" i="7"/>
  <c r="I15" i="7"/>
  <c r="I7" i="7"/>
  <c r="F15" i="7"/>
  <c r="F7" i="7"/>
  <c r="M7" i="7"/>
  <c r="K7" i="7"/>
  <c r="H7" i="7"/>
  <c r="C7" i="7"/>
  <c r="J15" i="7"/>
  <c r="G7" i="7"/>
  <c r="N7" i="7"/>
  <c r="E7" i="7"/>
  <c r="B5" i="8" l="1"/>
  <c r="C5" i="8"/>
  <c r="D6" i="8"/>
  <c r="D5" i="8"/>
  <c r="L9" i="7"/>
  <c r="L17" i="7" s="1"/>
  <c r="L34" i="7" s="1"/>
  <c r="E5" i="8"/>
  <c r="B9" i="7"/>
  <c r="D9" i="7"/>
  <c r="D17" i="7" s="1"/>
  <c r="D34" i="7" s="1"/>
  <c r="K9" i="7"/>
  <c r="K17" i="7" s="1"/>
  <c r="K34" i="7" s="1"/>
  <c r="F9" i="7"/>
  <c r="F17" i="7" s="1"/>
  <c r="F34" i="7" s="1"/>
  <c r="C6" i="8"/>
  <c r="E9" i="7"/>
  <c r="E17" i="7" s="1"/>
  <c r="E34" i="7" s="1"/>
  <c r="B6" i="8"/>
  <c r="J9" i="7"/>
  <c r="J17" i="7" s="1"/>
  <c r="J34" i="7" s="1"/>
  <c r="B13" i="8"/>
  <c r="B7" i="8"/>
  <c r="B37" i="5"/>
  <c r="M9" i="7"/>
  <c r="M17" i="7" s="1"/>
  <c r="M34" i="7" s="1"/>
  <c r="C13" i="8"/>
  <c r="C33" i="8" s="1"/>
  <c r="N9" i="7"/>
  <c r="N17" i="7" s="1"/>
  <c r="D7" i="8"/>
  <c r="E13" i="8"/>
  <c r="E33" i="8" s="1"/>
  <c r="D13" i="8"/>
  <c r="D33" i="8" s="1"/>
  <c r="E6" i="8"/>
  <c r="E7" i="8"/>
  <c r="I9" i="7"/>
  <c r="I17" i="7" s="1"/>
  <c r="I34" i="7" s="1"/>
  <c r="H9" i="7"/>
  <c r="H17" i="7" s="1"/>
  <c r="H34" i="7" s="1"/>
  <c r="C9" i="7"/>
  <c r="C17" i="7" s="1"/>
  <c r="C34" i="7" s="1"/>
  <c r="G9" i="7"/>
  <c r="G17" i="7" s="1"/>
  <c r="G34" i="7" s="1"/>
  <c r="C7" i="8"/>
  <c r="B17" i="7" l="1"/>
  <c r="B34" i="7" s="1"/>
  <c r="B32" i="8"/>
  <c r="N34" i="7"/>
  <c r="B36" i="7" s="1"/>
  <c r="B34" i="8"/>
  <c r="C23" i="8" s="1"/>
  <c r="D10" i="8"/>
  <c r="B10" i="8"/>
  <c r="E32" i="8"/>
  <c r="E34" i="8" s="1"/>
  <c r="E45" i="5" s="1"/>
  <c r="B12" i="9" s="1"/>
  <c r="B26" i="8"/>
  <c r="E10" i="8"/>
  <c r="C32" i="8"/>
  <c r="C34" i="8" s="1"/>
  <c r="D32" i="8"/>
  <c r="D34" i="8" s="1"/>
  <c r="B27" i="8" l="1"/>
  <c r="C3" i="8" s="1"/>
  <c r="B43" i="7"/>
  <c r="E23" i="8"/>
  <c r="E26" i="8" s="1"/>
  <c r="D23" i="8"/>
  <c r="D26" i="8" s="1"/>
  <c r="C26" i="8"/>
  <c r="C10" i="8"/>
  <c r="B11" i="9" l="1"/>
  <c r="E46" i="5"/>
  <c r="C27" i="8"/>
  <c r="D3" i="8" s="1"/>
  <c r="D27" i="8" s="1"/>
  <c r="E3" i="8" s="1"/>
  <c r="E27" i="8" s="1"/>
  <c r="B42" i="5" s="1"/>
  <c r="C4" i="9" l="1"/>
  <c r="B46" i="5"/>
  <c r="C5" i="9"/>
  <c r="C6" i="9" s="1"/>
  <c r="C7" i="9"/>
</calcChain>
</file>

<file path=xl/sharedStrings.xml><?xml version="1.0" encoding="utf-8"?>
<sst xmlns="http://schemas.openxmlformats.org/spreadsheetml/2006/main" count="402" uniqueCount="255">
  <si>
    <t>Name students: Angeline Chatelain (682447), Jessica Redondo Müller (683501), Karla Ostojic (689192), Merel Zwart (655564), Omar Abdulghani (628674)</t>
  </si>
  <si>
    <t>Project: Financial Plan</t>
  </si>
  <si>
    <t>Company:</t>
  </si>
  <si>
    <t>BEEX</t>
  </si>
  <si>
    <t>Company type:  Limited liability company</t>
  </si>
  <si>
    <t>Number of employees: 2</t>
  </si>
  <si>
    <t xml:space="preserve">Businessmodel: </t>
  </si>
  <si>
    <t xml:space="preserve">Subscriptions/Packages/Hours </t>
  </si>
  <si>
    <t xml:space="preserve">Monthly hours on the basis of subscriptions or tailored per project </t>
  </si>
  <si>
    <t>Country: Belgium</t>
  </si>
  <si>
    <t>Currency: Euros</t>
  </si>
  <si>
    <t>Investment- and financing budget</t>
  </si>
  <si>
    <t>Notes</t>
  </si>
  <si>
    <t>Investment- and financing budget per January 1st, year 2023</t>
  </si>
  <si>
    <t>Debet</t>
  </si>
  <si>
    <t>Credit</t>
  </si>
  <si>
    <t>List Inventory</t>
  </si>
  <si>
    <t>Incl. VAT</t>
  </si>
  <si>
    <t>Excl. VAT</t>
  </si>
  <si>
    <t>Number</t>
  </si>
  <si>
    <t>Total incl. VAT</t>
  </si>
  <si>
    <t>Total excl. VAT</t>
  </si>
  <si>
    <t>Total VAT</t>
  </si>
  <si>
    <t>Reference url</t>
  </si>
  <si>
    <t>Additional notes</t>
  </si>
  <si>
    <t>Desks</t>
  </si>
  <si>
    <t>https://www.ikea.com/be/nl/p/trotten-bureau-beige-wit-s69434270/#content</t>
  </si>
  <si>
    <t>Fixed Assets</t>
  </si>
  <si>
    <t>Equity</t>
  </si>
  <si>
    <t>Chairs</t>
  </si>
  <si>
    <t>https://www.ikea.com/be/nl/p/langfjall-vergaderstoel-gunnared-beige-wit-s19252366/</t>
  </si>
  <si>
    <t>Inventory</t>
  </si>
  <si>
    <t>Shareholders equity</t>
  </si>
  <si>
    <t>Coffee machine</t>
  </si>
  <si>
    <t>https://www.coolblue.be/en/product/841445/sage-barista-express-black-sesame.html</t>
  </si>
  <si>
    <t>Computers</t>
  </si>
  <si>
    <t>Philips screens</t>
  </si>
  <si>
    <t>https://www.coolblue.be/product/780862/philips-273v7qdab.html</t>
  </si>
  <si>
    <t>Couch</t>
  </si>
  <si>
    <t>https://www.ikea.com/be/en/p/linanaes-2-seat-sofa-vissle-beige-40499974/</t>
  </si>
  <si>
    <t>Camera</t>
  </si>
  <si>
    <t>https://brookpad.be/en/products/nikon-d3500-w-af-p-dx-nikkor-18-55mm-f-3-5-5-6g-vr-black?variant=42807637704943&amp;utm_source=google&amp;utm_medium=organic&amp;utm_campaign=EFLcomEN+USD&amp;utm_content=Nikon+D3500+W%2F+AF-P+DX+NIKKOR+18-55mm+f%2F3.5-5.6G+VR+Black&amp;shpxid=1e28a4c5-d65a-46e1-9d31-7e35482f671b</t>
  </si>
  <si>
    <t>Camera lights</t>
  </si>
  <si>
    <t>https://www.coolblue.be/product/891873/bresser-br-225b-led-daglichtset.html?cmt=c_a%2Ccid_16560080773%2Caid_132450828622%2Ctid_aud-1676514780854%3Apla-307831767538%2Cgn_g%2Cd_c&amp;utm_source=google&amp;utm_medium=cpc&amp;utm_content=shopping&amp;gclid=Cj0KCQjw-fmZBhDtARIsAH6H8qhq0EkYLz0AKdalF4ZwQkous3QulkCIob21pG_NnPzDibL1Q-rN1wcaAl4ZEALw_wcB</t>
  </si>
  <si>
    <t>Current Assets</t>
  </si>
  <si>
    <t>Cutlery</t>
  </si>
  <si>
    <t>https://www.ikea.com/be/nl/p/mopsig-bestek-16-delig-00343003/</t>
  </si>
  <si>
    <t>Dishes</t>
  </si>
  <si>
    <t>VAT to Receive</t>
  </si>
  <si>
    <t>Cups</t>
  </si>
  <si>
    <t>https://www.ikea.com/be/nl/p/vardera-koffiekop-en-schotel-60277463/</t>
  </si>
  <si>
    <t>Plates Set</t>
  </si>
  <si>
    <t>https://www.ikea.com/be/nl/p/godmiddag-servies-24-delig-wit-60479734/</t>
  </si>
  <si>
    <t>Startup Costs</t>
  </si>
  <si>
    <t>Long Term Loan/Debt</t>
  </si>
  <si>
    <t xml:space="preserve">Printer </t>
  </si>
  <si>
    <t>https://www.coolblue.be/product/858209/hp-color-laserjet-pro-m283fdw-mfp.html?cmt=c_a%2Ccid_16731022239%2Caid_140337336372%2Ctid_pla-318416504858%2Cgn_g%2Cd_c&amp;utm_source=google&amp;utm_medium=cpc&amp;utm_content=shopping&amp;gclid=Cj0KCQjw-fmZBhDtARIsAH6H8qgySnNCidJA2Z_IlR0pnLnqiQAo3D8KXi57f7Jfe4LAnd5LnQh6igYaAhz-EALw_wcB</t>
  </si>
  <si>
    <t>7.45% Bank loan 3 year</t>
  </si>
  <si>
    <t>Office phone</t>
  </si>
  <si>
    <t>https://productpine.com/nl/products/profoon-cordless-telephone-3-handsets?channable=027fcd6964003433353531303033353038393439c8&amp;variant=43551003508949&amp;utm_source=google&amp;utm_medium=free_listing&amp;utm_campaign=free_listing&amp;utm_source=google&amp;utm_medium=cpc&amp;utm_campaign=18136423564&amp;utm_content=&amp;utm_term=&amp;gclid=Cj0KCQjw-fmZBhDtARIsAH6H8qg1FQtZ10ktal2SoLqmyKKICqVHQmyzIq8RRXh1OBNyIP3YMYxxQeYaAv0MEALw_wcB</t>
  </si>
  <si>
    <t>Liquid Assets</t>
  </si>
  <si>
    <t xml:space="preserve">Decor </t>
  </si>
  <si>
    <t>Bank</t>
  </si>
  <si>
    <t>Desk lights</t>
  </si>
  <si>
    <t>https://www.ikea.com/be/nl/p/lovmanad-bureaulamp-zwart-50518439/</t>
  </si>
  <si>
    <t>Cash</t>
  </si>
  <si>
    <t>Short Term Loan/Debt</t>
  </si>
  <si>
    <t>Plants</t>
  </si>
  <si>
    <t>https://www.ikea.com/be/nl/p/fejka-kunstplant-binnen-buiten-eikvaren-50493349/</t>
  </si>
  <si>
    <t>Accounts Payable (incl. VAT)</t>
  </si>
  <si>
    <t>Closet</t>
  </si>
  <si>
    <t>https://www.ikea.com/be/en/p/brimnes-wardrobe-with-3-doors-white-40407922/</t>
  </si>
  <si>
    <t>Storage closet</t>
  </si>
  <si>
    <t>https://www.ikea.com/be/nl/p/vihals-opbergmeubel-wit-90483268/</t>
  </si>
  <si>
    <t>Total</t>
  </si>
  <si>
    <t xml:space="preserve">Total </t>
  </si>
  <si>
    <t>List computers</t>
  </si>
  <si>
    <t>Macbook Pro 13-inch</t>
  </si>
  <si>
    <t>https://www.apple.com/be-nl/shop/buy-mac/macbook-pro/13%E2%80%91inch-spacegrijs-apple-m2-chip-met-8-core-cpu-en-10-core-gpu-512gb</t>
  </si>
  <si>
    <t>iMac 24‑inch</t>
  </si>
  <si>
    <t>https://www.apple.com/be-nl/shop/buy-mac/imac/blauw-24%E2%80%91inch-8-core-cpu-8-core-gpu-8-gb-geheugen-512gb</t>
  </si>
  <si>
    <t>List Car(s)</t>
  </si>
  <si>
    <t>List Start-up Costs</t>
  </si>
  <si>
    <t>Ch of comm. Registration</t>
  </si>
  <si>
    <t>https://www.lawyersbelgium.com/open-a-company-in-belgium</t>
  </si>
  <si>
    <t>Notary</t>
  </si>
  <si>
    <t>https://belgium.euresidence.me/company-registration-in-belgium/#:~:text=Notary%20and%20Ministry%20of%20Economy,statutory%20business%20plan%20are%20included.&amp;text=VAT%20registration%2C%20if%20needed%2C%20100,EUR%20fee%20%2B%20EORI%20registration%20free.</t>
  </si>
  <si>
    <t>VAT registration fee</t>
  </si>
  <si>
    <t>Repayment Schedule Bankloan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</si>
  <si>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</si>
  <si>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</si>
  <si>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</si>
  <si>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</si>
  <si>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</si>
  <si>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</si>
  <si>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</si>
  <si>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</si>
  <si>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</si>
  <si>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</si>
  <si>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</si>
  <si>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</si>
  <si>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r>
      <rPr>
        <b/>
        <sz val="11"/>
        <color rgb="FF000000"/>
        <rFont val="Calibri"/>
        <family val="2"/>
      </rPr>
      <t xml:space="preserve">Source: </t>
    </r>
    <r>
      <rPr>
        <u/>
        <sz val="11"/>
        <color rgb="FF000000"/>
        <rFont val="Calibri"/>
        <family val="2"/>
      </rPr>
      <t>https://promo.ing.be/businesscredit/Simulation?product=BLO&amp;LANG=EN</t>
    </r>
  </si>
  <si>
    <t xml:space="preserve">Outstanding loan </t>
  </si>
  <si>
    <t>Outstanding 31/12</t>
  </si>
  <si>
    <t>Repayments</t>
  </si>
  <si>
    <t xml:space="preserve">Interest </t>
  </si>
  <si>
    <t>Interest per year</t>
  </si>
  <si>
    <t>Opening Balance</t>
  </si>
  <si>
    <t>Balance per Januari 1st year 2023</t>
  </si>
  <si>
    <t>Fixed Assets (exc. VAT)</t>
  </si>
  <si>
    <t>VAT to recieve</t>
  </si>
  <si>
    <t xml:space="preserve">Start up costs </t>
  </si>
  <si>
    <t>Closing Balance</t>
  </si>
  <si>
    <t>Balance per December 31st, year 2023</t>
  </si>
  <si>
    <t xml:space="preserve">Computers </t>
  </si>
  <si>
    <t xml:space="preserve">Undivided Profit </t>
  </si>
  <si>
    <t xml:space="preserve">Accounts Receivable </t>
  </si>
  <si>
    <t xml:space="preserve">VAT to receive </t>
  </si>
  <si>
    <t xml:space="preserve">Startup costs </t>
  </si>
  <si>
    <t>Bank loan outstanding</t>
  </si>
  <si>
    <t>Profit tax to pay</t>
  </si>
  <si>
    <t>VAT to pay</t>
  </si>
  <si>
    <t>Calculation Cost Price or Hourly Rate</t>
  </si>
  <si>
    <t>Depreciations</t>
  </si>
  <si>
    <t>Purchase Amount excl. VAT</t>
  </si>
  <si>
    <t>Residual Value</t>
  </si>
  <si>
    <t>Depreciation Amount</t>
  </si>
  <si>
    <t>Life of asset (Number of years)</t>
  </si>
  <si>
    <t>Depreciation p/y</t>
  </si>
  <si>
    <t>Total without computers</t>
  </si>
  <si>
    <t>Business costs</t>
  </si>
  <si>
    <t>Amount per month excl. VAT</t>
  </si>
  <si>
    <t>Costs per month/year</t>
  </si>
  <si>
    <t>Costs per year</t>
  </si>
  <si>
    <t>Source</t>
  </si>
  <si>
    <t>Add notes</t>
  </si>
  <si>
    <t>Office Rent</t>
  </si>
  <si>
    <t>Month</t>
  </si>
  <si>
    <t>https://www.instantoffices.com/en/be/available-office-space/brussels/rue-d-arlon-71888</t>
  </si>
  <si>
    <t>Subscription: Adobe</t>
  </si>
  <si>
    <t>https://www.adobe.com/be_nl/creativecloud/business-plans.html?plan=team&amp;step=2</t>
  </si>
  <si>
    <t>Subscription: Zoom</t>
  </si>
  <si>
    <t>https://zoom.us/buy</t>
  </si>
  <si>
    <t>Subscription: Landline office</t>
  </si>
  <si>
    <t>https://callmepower.be/nl/telecom/gids/vergelijken/vaste-telefoon</t>
  </si>
  <si>
    <t>Energy &amp; Gas</t>
  </si>
  <si>
    <t>https://www.boltenergie.be/nl/onze-producenten/jouw-persoonlijk-aanbod</t>
  </si>
  <si>
    <t>Year</t>
  </si>
  <si>
    <t>Salaries or Owners fee</t>
  </si>
  <si>
    <t xml:space="preserve">FTE Monthly </t>
  </si>
  <si>
    <t>€ per Month</t>
  </si>
  <si>
    <t>Hours per week</t>
  </si>
  <si>
    <t>Vacation Pay 8%</t>
  </si>
  <si>
    <t>Employers costs 16%</t>
  </si>
  <si>
    <t>Total € per Year</t>
  </si>
  <si>
    <t xml:space="preserve">Manager </t>
  </si>
  <si>
    <t>Intern Assistant (Partime)</t>
  </si>
  <si>
    <t>Total Constant costs</t>
  </si>
  <si>
    <t>Depreciations per year</t>
  </si>
  <si>
    <t>Business Costs</t>
  </si>
  <si>
    <t>Salaries</t>
  </si>
  <si>
    <t>profit margin</t>
  </si>
  <si>
    <t>Variable costs (Roles)</t>
  </si>
  <si>
    <t>Hours</t>
  </si>
  <si>
    <t>per item/hour</t>
  </si>
  <si>
    <t>% Revenue NL</t>
  </si>
  <si>
    <t>Number of expected sales (hours) ( year 2)</t>
  </si>
  <si>
    <t xml:space="preserve">Constant cost per role </t>
  </si>
  <si>
    <t>Constant Cost per hour</t>
  </si>
  <si>
    <t>Total Cost per role</t>
  </si>
  <si>
    <t>Markup %</t>
  </si>
  <si>
    <t>Sales price per role</t>
  </si>
  <si>
    <t>BEP</t>
  </si>
  <si>
    <t xml:space="preserve">PR Specialist </t>
  </si>
  <si>
    <t>Designer</t>
  </si>
  <si>
    <t>Social Media Manager</t>
  </si>
  <si>
    <t>constant cost / percentage * number of sales</t>
  </si>
  <si>
    <t>Expected Sales per month (hours)</t>
  </si>
  <si>
    <t>Year 1</t>
  </si>
  <si>
    <t xml:space="preserve">Year 2 </t>
  </si>
  <si>
    <t>Profit &amp; Loss Budget</t>
  </si>
  <si>
    <t>Quarter I</t>
  </si>
  <si>
    <t>Quarter II</t>
  </si>
  <si>
    <t>Quarter III</t>
  </si>
  <si>
    <t>Quarter IV</t>
  </si>
  <si>
    <t>Extra Toelichting</t>
  </si>
  <si>
    <t>January</t>
  </si>
  <si>
    <t>February</t>
  </si>
  <si>
    <t>August</t>
  </si>
  <si>
    <t>September</t>
  </si>
  <si>
    <t>October</t>
  </si>
  <si>
    <t>November</t>
  </si>
  <si>
    <t>December</t>
  </si>
  <si>
    <t>Revenue</t>
  </si>
  <si>
    <t>Variable costs</t>
  </si>
  <si>
    <t>Brute Margin</t>
  </si>
  <si>
    <t>Costs</t>
  </si>
  <si>
    <t>Net Profit before Tax</t>
  </si>
  <si>
    <t>Year Profit</t>
  </si>
  <si>
    <t>Taxes</t>
  </si>
  <si>
    <t>Profit tax</t>
  </si>
  <si>
    <t>https://finance.belgium.be/en/enterprises/corporation-tax/corporate-income-tax-return</t>
  </si>
  <si>
    <t>Profit after tax</t>
  </si>
  <si>
    <t>Cash Flow Forecast</t>
  </si>
  <si>
    <t>Year I</t>
  </si>
  <si>
    <t>Bank begin</t>
  </si>
  <si>
    <t>Receipts</t>
  </si>
  <si>
    <t>Payment term (30 days)</t>
  </si>
  <si>
    <t>VAT to receive</t>
  </si>
  <si>
    <t>Total incoming</t>
  </si>
  <si>
    <t>Spending</t>
  </si>
  <si>
    <t>Variable Costs</t>
  </si>
  <si>
    <t>VAT</t>
  </si>
  <si>
    <t>NO VAT</t>
  </si>
  <si>
    <t>Accounts Payable</t>
  </si>
  <si>
    <t xml:space="preserve">VAT to pay </t>
  </si>
  <si>
    <t>Total spending</t>
  </si>
  <si>
    <t>Bank end</t>
  </si>
  <si>
    <t>VAT to pay = VAT received</t>
  </si>
  <si>
    <t>VAT to receive = VAT paid</t>
  </si>
  <si>
    <t xml:space="preserve">VAT to settle </t>
  </si>
  <si>
    <t>Evaluation</t>
  </si>
  <si>
    <t>Ratio's</t>
  </si>
  <si>
    <t>Begin</t>
  </si>
  <si>
    <t>End</t>
  </si>
  <si>
    <t>Norm</t>
  </si>
  <si>
    <t>Solvability</t>
  </si>
  <si>
    <t>&gt; 40%</t>
  </si>
  <si>
    <t>Current ratio</t>
  </si>
  <si>
    <t>1,5 - 4</t>
  </si>
  <si>
    <t>Quick ratio</t>
  </si>
  <si>
    <t>above 1</t>
  </si>
  <si>
    <t>Net working capital</t>
  </si>
  <si>
    <r>
      <t>above 0</t>
    </r>
    <r>
      <rPr>
        <b/>
        <sz val="11"/>
        <color theme="1"/>
        <rFont val="Calibri"/>
        <family val="2"/>
        <scheme val="minor"/>
      </rPr>
      <t>€</t>
    </r>
  </si>
  <si>
    <t>Break Even Point Revenue PR Specialist</t>
  </si>
  <si>
    <t>Break Even Point Revenue Photographer</t>
  </si>
  <si>
    <t>Break Even Point Revenue Social Media Manager</t>
  </si>
  <si>
    <t>ROE</t>
  </si>
  <si>
    <t>ACD</t>
  </si>
  <si>
    <t>Calculations</t>
  </si>
  <si>
    <t>VAT incl high</t>
  </si>
  <si>
    <t>VAT incl low</t>
  </si>
  <si>
    <t>VAT high</t>
  </si>
  <si>
    <t>VAT low</t>
  </si>
  <si>
    <t>Vacation Pay</t>
  </si>
  <si>
    <t>Employers costs</t>
  </si>
  <si>
    <t>Module: International Boardroom</t>
  </si>
  <si>
    <t>Class: ICB 2A International Creative Business Haarlem</t>
  </si>
  <si>
    <t>Submission date: 18.12.22</t>
  </si>
  <si>
    <t xml:space="preserve">high liquidity because we have to pay lots of bills in the beginning </t>
  </si>
  <si>
    <t xml:space="preserve">good solvability ratio due to high shareholders equity </t>
  </si>
  <si>
    <t>high current ratio since we need a lot of initial investment to be able to export</t>
  </si>
  <si>
    <t>means the company has the financial resources to meet all of its short-term financial obligations</t>
  </si>
  <si>
    <t xml:space="preserve">if lower than 6% its good </t>
  </si>
  <si>
    <t>there is a very small percentage of ROE since we make a minimal profit in the first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</si>
</sst>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_ &quot;€&quot;\ * #,##0.00_ ;_ &quot;€&quot;\ * \-#,##0.00_ ;_ &quot;€&quot;\ * &quot;-&quot;??_ ;_ @_ "/>
    <numFmt numFmtId="165" formatCode="_ * #,##0.00_ ;_ * \-#,##0.00_ ;_ * &quot;-&quot;??_ ;_ @_ "/>
    <numFmt numFmtId="166" formatCode="_(&quot;€&quot;\ * #,##0.00_);_(&quot;€&quot;\ * \(#,##0.00\);_(&quot;€&quot;\ * &quot;-&quot;??_);_(@_)"/>
    <numFmt numFmtId="167" formatCode="&quot;€&quot;\ #,##0.00"/>
    <numFmt numFmtId="168" formatCode="_([$€-2]\ * #,##0_);_([$€-2]\ * \(#,##0\);_([$€-2]\ * &quot;-&quot;??_);_(@_)"/>
    <numFmt numFmtId="169" formatCode="_(&quot;€&quot;\ * #,##0_);_(&quot;€&quot;\ * \(#,##0\);_(&quot;€&quot;\ * &quot;-&quot;??_);_(@_)"/>
    <numFmt numFmtId="170" formatCode="_ &quot;€&quot;\ * #,##0_ ;_ &quot;€&quot;\ * \-#,##0_ ;_ &quot;€&quot;\ * &quot;-&quot;??_ ;_ @_ "/>
    <numFmt numFmtId="171" formatCode="_([$€-2]\ * #,##0.00_);_([$€-2]\ * \(#,##0.00\);_([$€-2]\ * &quot;-&quot;??_);_(@_)"/>
    <numFmt numFmtId="172" formatCode="&quot;€&quot;\ #,##0"/>
    <numFmt numFmtId="173" formatCode="_ [$€-2]\ * #,##0_ ;_ [$€-2]\ * \-#,##0_ ;_ [$€-2]\ * &quot;-&quot;??_ ;_ @_ "/>
    <numFmt numFmtId="174" formatCode="_-* #,##0\ &quot;€&quot;_-;\-* #,##0\ &quot;€&quot;_-;_-* &quot;-&quot;??\ &quot;€&quot;_-;_-@_-"/>
    <numFmt numFmtId="175" formatCode="_ [$€-2]\ * #,##0.00_ ;_ [$€-2]\ * \-#,##0.00_ ;_ [$€-2]\ * &quot;-&quot;??_ ;_ @_ "/>
    <numFmt numFmtId="176" formatCode="0.0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 (Hoofdtekst)_x0000_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 (Hoofdtekst)_x0000_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1" fillId="0" borderId="22" applyNumberFormat="0" applyFill="0" applyAlignment="0" applyProtection="0"/>
    <xf numFmtId="44" fontId="10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6" xfId="0" applyFont="1" applyBorder="1"/>
    <xf numFmtId="0" fontId="2" fillId="4" borderId="0" xfId="0" applyFont="1" applyFill="1"/>
    <xf numFmtId="0" fontId="6" fillId="0" borderId="0" xfId="0" applyFont="1"/>
    <xf numFmtId="166" fontId="2" fillId="0" borderId="0" xfId="0" applyNumberFormat="1" applyFont="1"/>
    <xf numFmtId="0" fontId="7" fillId="4" borderId="0" xfId="0" applyFont="1" applyFill="1"/>
    <xf numFmtId="0" fontId="2" fillId="0" borderId="9" xfId="0" applyFont="1" applyBorder="1"/>
    <xf numFmtId="0" fontId="2" fillId="3" borderId="6" xfId="0" applyFont="1" applyFill="1" applyBorder="1"/>
    <xf numFmtId="0" fontId="8" fillId="5" borderId="13" xfId="0" applyFont="1" applyFill="1" applyBorder="1"/>
    <xf numFmtId="164" fontId="2" fillId="0" borderId="15" xfId="0" applyNumberFormat="1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9" fillId="4" borderId="0" xfId="0" applyFont="1" applyFill="1"/>
    <xf numFmtId="0" fontId="3" fillId="4" borderId="0" xfId="0" applyFont="1" applyFill="1"/>
    <xf numFmtId="0" fontId="8" fillId="5" borderId="18" xfId="0" applyFont="1" applyFill="1" applyBorder="1" applyAlignment="1">
      <alignment horizontal="right"/>
    </xf>
    <xf numFmtId="164" fontId="2" fillId="0" borderId="0" xfId="0" applyNumberFormat="1" applyFont="1"/>
    <xf numFmtId="0" fontId="2" fillId="0" borderId="19" xfId="0" applyFont="1" applyBorder="1"/>
    <xf numFmtId="164" fontId="2" fillId="0" borderId="16" xfId="0" applyNumberFormat="1" applyFont="1" applyBorder="1"/>
    <xf numFmtId="0" fontId="2" fillId="6" borderId="0" xfId="0" applyFont="1" applyFill="1"/>
    <xf numFmtId="0" fontId="5" fillId="0" borderId="0" xfId="2" applyBorder="1"/>
    <xf numFmtId="0" fontId="2" fillId="7" borderId="0" xfId="0" applyFont="1" applyFill="1"/>
    <xf numFmtId="9" fontId="0" fillId="0" borderId="0" xfId="3" applyFont="1"/>
    <xf numFmtId="0" fontId="12" fillId="0" borderId="0" xfId="0" applyFont="1"/>
    <xf numFmtId="0" fontId="13" fillId="0" borderId="0" xfId="0" applyFont="1"/>
    <xf numFmtId="0" fontId="12" fillId="4" borderId="0" xfId="0" applyFont="1" applyFill="1"/>
    <xf numFmtId="0" fontId="2" fillId="4" borderId="7" xfId="0" applyFont="1" applyFill="1" applyBorder="1"/>
    <xf numFmtId="0" fontId="2" fillId="4" borderId="7" xfId="0" applyFont="1" applyFill="1" applyBorder="1" applyAlignment="1">
      <alignment horizontal="center" vertical="center"/>
    </xf>
    <xf numFmtId="170" fontId="13" fillId="0" borderId="0" xfId="0" applyNumberFormat="1" applyFont="1"/>
    <xf numFmtId="164" fontId="13" fillId="7" borderId="0" xfId="0" applyNumberFormat="1" applyFont="1" applyFill="1"/>
    <xf numFmtId="169" fontId="13" fillId="0" borderId="0" xfId="0" applyNumberFormat="1" applyFont="1"/>
    <xf numFmtId="170" fontId="2" fillId="0" borderId="0" xfId="0" applyNumberFormat="1" applyFont="1"/>
    <xf numFmtId="9" fontId="2" fillId="0" borderId="0" xfId="0" applyNumberFormat="1" applyFont="1" applyAlignment="1">
      <alignment horizontal="center"/>
    </xf>
    <xf numFmtId="168" fontId="2" fillId="0" borderId="0" xfId="0" applyNumberFormat="1" applyFont="1"/>
    <xf numFmtId="168" fontId="2" fillId="0" borderId="6" xfId="0" applyNumberFormat="1" applyFont="1" applyBorder="1"/>
    <xf numFmtId="164" fontId="0" fillId="0" borderId="0" xfId="5" applyNumberFormat="1" applyFont="1"/>
    <xf numFmtId="170" fontId="0" fillId="8" borderId="15" xfId="5" applyNumberFormat="1" applyFont="1" applyFill="1" applyBorder="1" applyAlignment="1">
      <alignment horizontal="right"/>
    </xf>
    <xf numFmtId="0" fontId="2" fillId="10" borderId="19" xfId="0" applyFont="1" applyFill="1" applyBorder="1"/>
    <xf numFmtId="0" fontId="2" fillId="8" borderId="19" xfId="0" applyFont="1" applyFill="1" applyBorder="1"/>
    <xf numFmtId="0" fontId="2" fillId="8" borderId="15" xfId="0" applyFont="1" applyFill="1" applyBorder="1" applyAlignment="1">
      <alignment horizontal="right"/>
    </xf>
    <xf numFmtId="0" fontId="0" fillId="4" borderId="0" xfId="0" applyFill="1"/>
    <xf numFmtId="169" fontId="0" fillId="0" borderId="0" xfId="0" applyNumberFormat="1"/>
    <xf numFmtId="169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7" xfId="0" applyNumberFormat="1" applyBorder="1"/>
    <xf numFmtId="0" fontId="0" fillId="0" borderId="7" xfId="0" applyBorder="1"/>
    <xf numFmtId="169" fontId="0" fillId="9" borderId="15" xfId="0" applyNumberFormat="1" applyFill="1" applyBorder="1"/>
    <xf numFmtId="169" fontId="0" fillId="0" borderId="6" xfId="0" applyNumberFormat="1" applyBorder="1"/>
    <xf numFmtId="0" fontId="0" fillId="0" borderId="6" xfId="0" applyBorder="1"/>
    <xf numFmtId="168" fontId="0" fillId="0" borderId="0" xfId="0" applyNumberFormat="1"/>
    <xf numFmtId="0" fontId="14" fillId="0" borderId="0" xfId="2" applyFont="1" applyFill="1"/>
    <xf numFmtId="0" fontId="14" fillId="0" borderId="0" xfId="2" applyFont="1"/>
    <xf numFmtId="164" fontId="0" fillId="0" borderId="0" xfId="0" applyNumberFormat="1"/>
    <xf numFmtId="170" fontId="0" fillId="0" borderId="0" xfId="0" applyNumberFormat="1"/>
    <xf numFmtId="0" fontId="0" fillId="0" borderId="17" xfId="0" applyBorder="1"/>
    <xf numFmtId="1" fontId="0" fillId="0" borderId="0" xfId="0" applyNumberFormat="1"/>
    <xf numFmtId="172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1" fontId="0" fillId="0" borderId="0" xfId="0" applyNumberFormat="1"/>
    <xf numFmtId="170" fontId="0" fillId="0" borderId="6" xfId="0" applyNumberFormat="1" applyBorder="1"/>
    <xf numFmtId="170" fontId="0" fillId="0" borderId="8" xfId="0" applyNumberFormat="1" applyBorder="1"/>
    <xf numFmtId="164" fontId="0" fillId="4" borderId="0" xfId="0" applyNumberFormat="1" applyFill="1"/>
    <xf numFmtId="170" fontId="0" fillId="9" borderId="15" xfId="0" applyNumberFormat="1" applyFill="1" applyBorder="1"/>
    <xf numFmtId="164" fontId="0" fillId="0" borderId="6" xfId="0" applyNumberFormat="1" applyBorder="1"/>
    <xf numFmtId="9" fontId="0" fillId="0" borderId="0" xfId="0" applyNumberFormat="1"/>
    <xf numFmtId="167" fontId="0" fillId="4" borderId="7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3" fontId="0" fillId="0" borderId="0" xfId="0" applyNumberFormat="1"/>
    <xf numFmtId="0" fontId="0" fillId="2" borderId="0" xfId="0" applyFill="1"/>
    <xf numFmtId="0" fontId="0" fillId="0" borderId="7" xfId="0" applyBorder="1" applyAlignment="1">
      <alignment horizontal="right"/>
    </xf>
    <xf numFmtId="0" fontId="0" fillId="0" borderId="10" xfId="0" applyBorder="1"/>
    <xf numFmtId="0" fontId="14" fillId="0" borderId="0" xfId="2" applyFont="1" applyBorder="1"/>
    <xf numFmtId="168" fontId="0" fillId="0" borderId="10" xfId="0" applyNumberFormat="1" applyBorder="1"/>
    <xf numFmtId="170" fontId="15" fillId="0" borderId="0" xfId="0" applyNumberFormat="1" applyFont="1"/>
    <xf numFmtId="164" fontId="0" fillId="7" borderId="0" xfId="0" applyNumberFormat="1" applyFill="1"/>
    <xf numFmtId="164" fontId="0" fillId="8" borderId="0" xfId="0" applyNumberFormat="1" applyFill="1"/>
    <xf numFmtId="0" fontId="14" fillId="7" borderId="0" xfId="2" applyFont="1" applyFill="1" applyBorder="1"/>
    <xf numFmtId="0" fontId="0" fillId="7" borderId="0" xfId="0" applyFill="1"/>
    <xf numFmtId="168" fontId="0" fillId="0" borderId="21" xfId="0" applyNumberFormat="1" applyBorder="1"/>
    <xf numFmtId="168" fontId="0" fillId="0" borderId="6" xfId="0" applyNumberFormat="1" applyBorder="1"/>
    <xf numFmtId="168" fontId="0" fillId="0" borderId="20" xfId="0" applyNumberFormat="1" applyBorder="1"/>
    <xf numFmtId="166" fontId="0" fillId="0" borderId="6" xfId="0" applyNumberFormat="1" applyBorder="1"/>
    <xf numFmtId="164" fontId="0" fillId="0" borderId="7" xfId="0" applyNumberFormat="1" applyBorder="1"/>
    <xf numFmtId="170" fontId="0" fillId="4" borderId="0" xfId="0" applyNumberFormat="1" applyFill="1"/>
    <xf numFmtId="173" fontId="0" fillId="0" borderId="0" xfId="0" applyNumberFormat="1"/>
    <xf numFmtId="167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10" xfId="0" applyNumberFormat="1" applyBorder="1"/>
    <xf numFmtId="0" fontId="0" fillId="0" borderId="11" xfId="0" applyBorder="1"/>
    <xf numFmtId="166" fontId="0" fillId="0" borderId="8" xfId="0" applyNumberFormat="1" applyBorder="1"/>
    <xf numFmtId="164" fontId="0" fillId="0" borderId="10" xfId="0" applyNumberFormat="1" applyBorder="1"/>
    <xf numFmtId="0" fontId="0" fillId="0" borderId="23" xfId="0" applyBorder="1"/>
    <xf numFmtId="165" fontId="0" fillId="0" borderId="0" xfId="0" applyNumberFormat="1"/>
    <xf numFmtId="0" fontId="0" fillId="5" borderId="3" xfId="0" applyFill="1" applyBorder="1"/>
    <xf numFmtId="0" fontId="0" fillId="5" borderId="5" xfId="0" applyFill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12" xfId="0" applyFill="1" applyBorder="1" applyAlignment="1">
      <alignment horizontal="right"/>
    </xf>
    <xf numFmtId="0" fontId="0" fillId="3" borderId="6" xfId="0" applyFill="1" applyBorder="1"/>
    <xf numFmtId="0" fontId="0" fillId="3" borderId="8" xfId="0" applyFill="1" applyBorder="1"/>
    <xf numFmtId="170" fontId="0" fillId="0" borderId="9" xfId="0" applyNumberFormat="1" applyBorder="1"/>
    <xf numFmtId="170" fontId="0" fillId="0" borderId="10" xfId="0" applyNumberFormat="1" applyBorder="1"/>
    <xf numFmtId="170" fontId="0" fillId="0" borderId="24" xfId="0" applyNumberFormat="1" applyBorder="1"/>
    <xf numFmtId="170" fontId="0" fillId="0" borderId="23" xfId="0" applyNumberFormat="1" applyBorder="1"/>
    <xf numFmtId="170" fontId="0" fillId="3" borderId="6" xfId="0" applyNumberFormat="1" applyFill="1" applyBorder="1"/>
    <xf numFmtId="170" fontId="0" fillId="3" borderId="8" xfId="0" applyNumberFormat="1" applyFill="1" applyBorder="1"/>
    <xf numFmtId="170" fontId="0" fillId="3" borderId="0" xfId="0" applyNumberFormat="1" applyFill="1"/>
    <xf numFmtId="170" fontId="0" fillId="3" borderId="0" xfId="0" applyNumberFormat="1" applyFill="1" applyAlignment="1">
      <alignment horizontal="right"/>
    </xf>
    <xf numFmtId="170" fontId="0" fillId="3" borderId="11" xfId="0" applyNumberFormat="1" applyFill="1" applyBorder="1" applyAlignment="1">
      <alignment horizontal="right"/>
    </xf>
    <xf numFmtId="0" fontId="2" fillId="0" borderId="22" xfId="4" applyFont="1"/>
    <xf numFmtId="170" fontId="2" fillId="0" borderId="22" xfId="4" applyNumberFormat="1" applyFont="1"/>
    <xf numFmtId="164" fontId="0" fillId="0" borderId="9" xfId="0" applyNumberFormat="1" applyBorder="1"/>
    <xf numFmtId="164" fontId="0" fillId="0" borderId="24" xfId="0" applyNumberFormat="1" applyBorder="1"/>
    <xf numFmtId="174" fontId="0" fillId="3" borderId="6" xfId="0" applyNumberFormat="1" applyFill="1" applyBorder="1"/>
    <xf numFmtId="174" fontId="0" fillId="0" borderId="0" xfId="0" applyNumberFormat="1"/>
    <xf numFmtId="0" fontId="2" fillId="5" borderId="18" xfId="0" applyFont="1" applyFill="1" applyBorder="1" applyAlignment="1">
      <alignment horizontal="right"/>
    </xf>
    <xf numFmtId="170" fontId="0" fillId="8" borderId="15" xfId="0" applyNumberFormat="1" applyFill="1" applyBorder="1" applyAlignment="1">
      <alignment horizontal="right"/>
    </xf>
    <xf numFmtId="170" fontId="0" fillId="8" borderId="16" xfId="0" applyNumberFormat="1" applyFill="1" applyBorder="1" applyAlignment="1">
      <alignment horizontal="right"/>
    </xf>
    <xf numFmtId="170" fontId="0" fillId="3" borderId="14" xfId="0" applyNumberFormat="1" applyFill="1" applyBorder="1"/>
    <xf numFmtId="170" fontId="0" fillId="3" borderId="10" xfId="0" applyNumberFormat="1" applyFill="1" applyBorder="1"/>
    <xf numFmtId="164" fontId="0" fillId="3" borderId="0" xfId="0" applyNumberFormat="1" applyFill="1"/>
    <xf numFmtId="170" fontId="0" fillId="0" borderId="14" xfId="0" applyNumberFormat="1" applyBorder="1"/>
    <xf numFmtId="170" fontId="0" fillId="0" borderId="15" xfId="0" applyNumberFormat="1" applyBorder="1"/>
    <xf numFmtId="170" fontId="0" fillId="0" borderId="16" xfId="0" applyNumberFormat="1" applyBorder="1"/>
    <xf numFmtId="0" fontId="0" fillId="0" borderId="14" xfId="0" applyBorder="1"/>
    <xf numFmtId="170" fontId="0" fillId="10" borderId="15" xfId="0" applyNumberFormat="1" applyFill="1" applyBorder="1"/>
    <xf numFmtId="164" fontId="0" fillId="10" borderId="15" xfId="0" applyNumberFormat="1" applyFill="1" applyBorder="1"/>
    <xf numFmtId="170" fontId="0" fillId="0" borderId="0" xfId="0" applyNumberFormat="1" applyAlignment="1">
      <alignment horizontal="right"/>
    </xf>
    <xf numFmtId="164" fontId="0" fillId="6" borderId="13" xfId="0" applyNumberFormat="1" applyFill="1" applyBorder="1"/>
    <xf numFmtId="164" fontId="0" fillId="0" borderId="14" xfId="0" applyNumberFormat="1" applyBorder="1"/>
    <xf numFmtId="0" fontId="0" fillId="0" borderId="9" xfId="0" applyBorder="1"/>
    <xf numFmtId="0" fontId="8" fillId="5" borderId="4" xfId="0" applyFont="1" applyFill="1" applyBorder="1"/>
    <xf numFmtId="0" fontId="17" fillId="5" borderId="4" xfId="0" applyFont="1" applyFill="1" applyBorder="1"/>
    <xf numFmtId="170" fontId="0" fillId="6" borderId="13" xfId="0" applyNumberFormat="1" applyFill="1" applyBorder="1" applyAlignment="1">
      <alignment horizontal="right"/>
    </xf>
    <xf numFmtId="0" fontId="0" fillId="0" borderId="0" xfId="0" applyAlignment="1">
      <alignment horizontal="center"/>
    </xf>
    <xf numFmtId="0" fontId="18" fillId="0" borderId="0" xfId="0" applyFont="1"/>
    <xf numFmtId="0" fontId="18" fillId="0" borderId="7" xfId="0" applyFont="1" applyBorder="1"/>
    <xf numFmtId="0" fontId="18" fillId="0" borderId="6" xfId="0" applyFont="1" applyBorder="1"/>
    <xf numFmtId="0" fontId="18" fillId="0" borderId="10" xfId="0" applyFont="1" applyBorder="1"/>
    <xf numFmtId="0" fontId="19" fillId="0" borderId="0" xfId="0" applyFont="1"/>
    <xf numFmtId="168" fontId="18" fillId="0" borderId="0" xfId="0" applyNumberFormat="1" applyFont="1"/>
    <xf numFmtId="166" fontId="18" fillId="0" borderId="10" xfId="0" applyNumberFormat="1" applyFont="1" applyBorder="1"/>
    <xf numFmtId="0" fontId="18" fillId="0" borderId="11" xfId="0" applyFont="1" applyBorder="1"/>
    <xf numFmtId="0" fontId="19" fillId="0" borderId="6" xfId="0" applyFont="1" applyBorder="1"/>
    <xf numFmtId="168" fontId="18" fillId="0" borderId="6" xfId="0" applyNumberFormat="1" applyFont="1" applyBorder="1"/>
    <xf numFmtId="166" fontId="18" fillId="0" borderId="8" xfId="0" applyNumberFormat="1" applyFont="1" applyBorder="1"/>
    <xf numFmtId="2" fontId="0" fillId="0" borderId="0" xfId="0" applyNumberFormat="1"/>
    <xf numFmtId="175" fontId="0" fillId="0" borderId="0" xfId="5" applyNumberFormat="1" applyFont="1"/>
    <xf numFmtId="176" fontId="0" fillId="0" borderId="0" xfId="0" applyNumberFormat="1"/>
    <xf numFmtId="0" fontId="5" fillId="0" borderId="0" xfId="2"/>
    <xf numFmtId="172" fontId="0" fillId="9" borderId="15" xfId="0" applyNumberFormat="1" applyFill="1" applyBorder="1"/>
    <xf numFmtId="176" fontId="0" fillId="0" borderId="6" xfId="0" applyNumberFormat="1" applyBorder="1"/>
    <xf numFmtId="0" fontId="20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6">
    <cellStyle name="Currency" xfId="5" builtinId="4"/>
    <cellStyle name="Heading 3" xfId="4" builtinId="18"/>
    <cellStyle name="Hyperlink" xfId="2" builtinId="8"/>
    <cellStyle name="Normal" xfId="0" builtinId="0"/>
    <cellStyle name="Percent" xfId="3" builtinId="5"/>
    <cellStyle name="Standaard 2" xfId="1" xr:uid="{00000000-0005-0000-0000-000001000000}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220287</xdr:colOff>
      <xdr:row>0</xdr:row>
      <xdr:rowOff>175260</xdr:rowOff>
    </xdr:from>
    <xdr:to>
      <xdr:col>3</xdr:col>
      <xdr:colOff>711200</xdr:colOff>
      <xdr:row>4</xdr:row>
      <xdr:rowOff>86037</xdr:rowOff>
    </xdr:to>
    <xdr:pic>
      <xdr:nvPicPr>
        <xdr:cNvPr id="11" name="Picture 2" descr="BEEX">
          <a:extLst>
            <a:ext uri="{FF2B5EF4-FFF2-40B4-BE49-F238E27FC236}">
              <a16:creationId xmlns:a16="http://schemas.microsoft.com/office/drawing/2014/main" id="{5B8AF41C-156C-0DBD-EDA3-CC44545E7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287" y="175260"/>
          <a:ext cx="2522913" cy="672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rookpad.be/en/products/nikon-d3500-w-af-p-dx-nikkor-18-55mm-f-3-5-5-6g-vr-black?variant=42807637704943&amp;utm_source=google&amp;utm_medium=organic&amp;utm_campaign=EFLcomEN+USD&amp;utm_content=Nikon+D3500+W%2F+AF-P+DX+NIKKOR+18-55mm+f%2F3.5-5.6G+VR+Black&amp;shpxid=1e28a4c5-d65a-46e1-9d31-7e35482f671b" TargetMode="External"/><Relationship Id="rId13" Type="http://schemas.openxmlformats.org/officeDocument/2006/relationships/hyperlink" Target="https://www.ikea.com/be/nl/p/vardera-koffiekop-en-schotel-60277463/" TargetMode="External"/><Relationship Id="rId18" Type="http://schemas.openxmlformats.org/officeDocument/2006/relationships/hyperlink" Target="https://www.apple.com/be-nl/shop/buy-mac/imac/blauw-24%E2%80%91inch-8-core-cpu-8-core-gpu-8-gb-geheugen-512gb" TargetMode="External"/><Relationship Id="rId3" Type="http://schemas.openxmlformats.org/officeDocument/2006/relationships/hyperlink" Target="https://www.ikea.com/be/nl/p/mopsig-bestek-16-delig-00343003/" TargetMode="External"/><Relationship Id="rId21" Type="http://schemas.openxmlformats.org/officeDocument/2006/relationships/hyperlink" Target="https://belgium.euresidence.me/company-registration-in-belgium/" TargetMode="External"/><Relationship Id="rId7" Type="http://schemas.openxmlformats.org/officeDocument/2006/relationships/hyperlink" Target="https://www.coolblue.be/product/891873/bresser-br-225b-led-daglichtset.html?cmt=c_a%2Ccid_16560080773%2Caid_132450828622%2Ctid_aud-1676514780854%3Apla-307831767538%2Cgn_g%2Cd_c&amp;utm_source=google&amp;utm_medium=cpc&amp;utm_content=shopping&amp;gclid=Cj0KCQjw-fmZBhDtARIsAH6H8qhq0EkYLz0AKdalF4ZwQkous3QulkCIob21pG_NnPzDibL1Q-rN1wcaAl4ZEALw_wcB" TargetMode="External"/><Relationship Id="rId12" Type="http://schemas.openxmlformats.org/officeDocument/2006/relationships/hyperlink" Target="https://www.ikea.com/be/nl/p/fejka-kunstplant-binnen-buiten-eikvaren-50493349/" TargetMode="External"/><Relationship Id="rId17" Type="http://schemas.openxmlformats.org/officeDocument/2006/relationships/hyperlink" Target="https://www.apple.com/be-nl/shop/buy-mac/macbook-pro/13%E2%80%91inch-spacegrijs-apple-m2-chip-met-8-core-cpu-en-10-core-gpu-512gb" TargetMode="External"/><Relationship Id="rId2" Type="http://schemas.openxmlformats.org/officeDocument/2006/relationships/hyperlink" Target="https://www.coolblue.be/product/858209/hp-color-laserjet-pro-m283fdw-mfp.html?cmt=c_a%2Ccid_16731022239%2Caid_140337336372%2Ctid_pla-318416504858%2Cgn_g%2Cd_c&amp;utm_source=google&amp;utm_medium=cpc&amp;utm_content=shopping&amp;gclid=Cj0KCQjw-fmZBhDtARIsAH6H8qgySnNCidJA2Z_IlR0pnLnqiQAo3D8KXi57f7Jfe4LAnd5LnQh6igYaAhz-EALw_wcB" TargetMode="External"/><Relationship Id="rId16" Type="http://schemas.openxmlformats.org/officeDocument/2006/relationships/hyperlink" Target="https://www.ikea.com/be/nl/p/vihals-opbergmeubel-wit-90483268/" TargetMode="External"/><Relationship Id="rId20" Type="http://schemas.openxmlformats.org/officeDocument/2006/relationships/hyperlink" Target="https://www.lawyersbelgium.com/open-a-company-in-belgium" TargetMode="External"/><Relationship Id="rId1" Type="http://schemas.openxmlformats.org/officeDocument/2006/relationships/hyperlink" Target="https://www.ikea.com/be/nl/p/trotten-bureau-beige-wit-s69434270/" TargetMode="External"/><Relationship Id="rId6" Type="http://schemas.openxmlformats.org/officeDocument/2006/relationships/hyperlink" Target="https://www.ikea.com/be/nl/p/langfjall-vergaderstoel-gunnared-beige-wit-s19252366/" TargetMode="External"/><Relationship Id="rId11" Type="http://schemas.openxmlformats.org/officeDocument/2006/relationships/hyperlink" Target="https://www.ikea.com/be/nl/p/lovmanad-bureaulamp-zwart-50518439/" TargetMode="External"/><Relationship Id="rId5" Type="http://schemas.openxmlformats.org/officeDocument/2006/relationships/hyperlink" Target="https://www.ikea.com/be/en/p/linanaes-2-seat-sofa-vissle-beige-40499974/" TargetMode="External"/><Relationship Id="rId15" Type="http://schemas.openxmlformats.org/officeDocument/2006/relationships/hyperlink" Target="https://www.ikea.com/be/en/p/brimnes-wardrobe-with-3-doors-white-40407922/" TargetMode="External"/><Relationship Id="rId10" Type="http://schemas.openxmlformats.org/officeDocument/2006/relationships/hyperlink" Target="https://www.coolblue.be/en/product/841445/sage-barista-express-black-sesame.html" TargetMode="External"/><Relationship Id="rId19" Type="http://schemas.openxmlformats.org/officeDocument/2006/relationships/hyperlink" Target="https://www.lawyersbelgium.com/open-a-company-in-belgium" TargetMode="External"/><Relationship Id="rId4" Type="http://schemas.openxmlformats.org/officeDocument/2006/relationships/hyperlink" Target="https://www.coolblue.be/product/780862/philips-273v7qdab.html" TargetMode="External"/><Relationship Id="rId9" Type="http://schemas.openxmlformats.org/officeDocument/2006/relationships/hyperlink" Target="https://productpine.com/nl/products/profoon-cordless-telephone-3-handsets?channable=027fcd6964003433353531303033353038393439c8&amp;variant=43551003508949&amp;utm_source=google&amp;utm_medium=free_listing&amp;utm_campaign=free_listing&amp;utm_source=google&amp;utm_medium=cpc&amp;utm_campaign=18136423564&amp;utm_content=&amp;utm_term=&amp;gclid=Cj0KCQjw-fmZBhDtARIsAH6H8qg1FQtZ10ktal2SoLqmyKKICqVHQmyzIq8RRXh1OBNyIP3YMYxxQeYaAv0MEALw_wcB" TargetMode="External"/><Relationship Id="rId14" Type="http://schemas.openxmlformats.org/officeDocument/2006/relationships/hyperlink" Target="https://www.ikea.com/be/nl/p/godmiddag-servies-24-delig-wit-60479734/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zoom.us/buy" TargetMode="External"/><Relationship Id="rId2" Type="http://schemas.openxmlformats.org/officeDocument/2006/relationships/hyperlink" Target="https://www.adobe.com/be_nl/creativecloud/business-plans.html?plan=team&amp;step=2" TargetMode="External"/><Relationship Id="rId1" Type="http://schemas.openxmlformats.org/officeDocument/2006/relationships/hyperlink" Target="https://www.instantoffices.com/en/be/available-office-space/brussels/rue-d-arlon-71888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boltenergie.be/nl/onze-producenten/jouw-persoonlijk-aanbod" TargetMode="External"/><Relationship Id="rId4" Type="http://schemas.openxmlformats.org/officeDocument/2006/relationships/hyperlink" Target="https://callmepower.be/nl/telecom/gids/vergelijken/vaste-telefoo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finance.belgium.be/en/enterprises/corporation-tax/corporate-income-tax-retur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="143" zoomScaleNormal="190" workbookViewId="0">
      <selection activeCell="D19" sqref="D19"/>
    </sheetView>
  </sheetViews>
  <sheetFormatPr defaultColWidth="8.6640625" defaultRowHeight="14.4"/>
  <cols>
    <col min="1" max="1" width="9.33203125" bestFit="1" customWidth="1"/>
    <col min="4" max="4" width="14.44140625" customWidth="1"/>
  </cols>
  <sheetData>
    <row r="1" spans="1:7">
      <c r="A1" s="74"/>
      <c r="B1" s="74"/>
      <c r="C1" s="74"/>
      <c r="D1" s="74"/>
      <c r="E1" s="74"/>
      <c r="F1" s="74"/>
      <c r="G1" s="74"/>
    </row>
    <row r="2" spans="1:7">
      <c r="A2" s="74"/>
      <c r="B2" s="74"/>
      <c r="C2" s="74"/>
      <c r="D2" s="74"/>
      <c r="E2" s="74"/>
      <c r="F2" s="74"/>
      <c r="G2" s="74"/>
    </row>
    <row r="3" spans="1:7">
      <c r="A3" s="74"/>
      <c r="B3" s="74"/>
      <c r="C3" s="74"/>
      <c r="D3" s="74"/>
      <c r="E3" s="74"/>
      <c r="F3" s="74"/>
      <c r="G3" s="74"/>
    </row>
    <row r="4" spans="1:7">
      <c r="A4" s="74"/>
      <c r="B4" s="74"/>
      <c r="C4" s="74"/>
      <c r="D4" s="74"/>
      <c r="E4" s="74"/>
      <c r="F4" s="74"/>
      <c r="G4" s="74"/>
    </row>
    <row r="5" spans="1:7">
      <c r="A5" s="74"/>
      <c r="B5" s="74"/>
      <c r="C5" s="74"/>
      <c r="D5" s="74"/>
      <c r="E5" s="74"/>
      <c r="F5" s="74"/>
      <c r="G5" s="74"/>
    </row>
    <row r="6" spans="1:7">
      <c r="A6" s="74" t="s">
        <v>246</v>
      </c>
      <c r="B6" s="74"/>
      <c r="C6" s="74"/>
      <c r="D6" s="74"/>
      <c r="E6" s="74"/>
      <c r="F6" s="74"/>
      <c r="G6" s="74"/>
    </row>
    <row r="7" spans="1:7">
      <c r="A7" t="s">
        <v>0</v>
      </c>
      <c r="B7" s="74"/>
      <c r="C7" s="74"/>
      <c r="D7" s="74"/>
      <c r="E7" s="74"/>
      <c r="F7" s="74"/>
      <c r="G7" s="74"/>
    </row>
    <row r="8" spans="1:7">
      <c r="A8" t="s">
        <v>247</v>
      </c>
      <c r="B8" s="74"/>
      <c r="C8" s="74"/>
      <c r="D8" s="74"/>
      <c r="E8" s="74"/>
      <c r="F8" s="74"/>
      <c r="G8" s="74"/>
    </row>
    <row r="9" spans="1:7">
      <c r="A9" s="74" t="s">
        <v>1</v>
      </c>
      <c r="B9" s="74"/>
      <c r="C9" s="74"/>
      <c r="D9" s="74"/>
      <c r="E9" s="74" t="s">
        <v>2</v>
      </c>
      <c r="F9" s="74" t="s">
        <v>3</v>
      </c>
      <c r="G9" s="74"/>
    </row>
    <row r="10" spans="1:7">
      <c r="A10" t="s">
        <v>4</v>
      </c>
      <c r="E10" t="s">
        <v>5</v>
      </c>
      <c r="G10" s="74"/>
    </row>
    <row r="11" spans="1:7">
      <c r="A11" s="74" t="s">
        <v>6</v>
      </c>
      <c r="B11" s="74"/>
      <c r="C11" s="74" t="s">
        <v>7</v>
      </c>
      <c r="D11" s="74"/>
      <c r="E11" s="74"/>
      <c r="F11" s="74"/>
      <c r="G11" s="74"/>
    </row>
    <row r="12" spans="1:7">
      <c r="A12" s="74" t="s">
        <v>8</v>
      </c>
      <c r="B12" s="74"/>
      <c r="C12" s="74"/>
      <c r="D12" s="74"/>
      <c r="E12" s="74"/>
      <c r="F12" s="74"/>
      <c r="G12" s="74"/>
    </row>
    <row r="13" spans="1:7">
      <c r="A13" t="s">
        <v>9</v>
      </c>
    </row>
    <row r="14" spans="1:7">
      <c r="A14" t="s">
        <v>10</v>
      </c>
    </row>
    <row r="15" spans="1:7">
      <c r="A15" t="s">
        <v>248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97E5-4D45-4DD0-A756-106CAB134A00}">
  <dimension ref="A1:AB54"/>
  <sheetViews>
    <sheetView tabSelected="1" zoomScale="94" zoomScaleNormal="70" workbookViewId="0">
      <selection activeCell="C30" sqref="C30"/>
    </sheetView>
  </sheetViews>
  <sheetFormatPr defaultColWidth="8.6640625" defaultRowHeight="14.4"/>
  <cols>
    <col min="1" max="1" width="19.44140625" customWidth="1"/>
    <col min="2" max="2" width="31.77734375" customWidth="1"/>
    <col min="3" max="3" width="38.109375" customWidth="1"/>
    <col min="4" max="4" width="26.109375" customWidth="1"/>
    <col min="5" max="5" width="13.44140625" customWidth="1"/>
    <col min="6" max="6" width="14.6640625" customWidth="1"/>
    <col min="8" max="8" width="36.44140625" customWidth="1"/>
    <col min="9" max="9" width="19.6640625" customWidth="1"/>
    <col min="10" max="10" width="13.44140625" customWidth="1"/>
    <col min="11" max="11" width="11.6640625" customWidth="1"/>
    <col min="12" max="12" width="13.6640625" bestFit="1" customWidth="1"/>
    <col min="13" max="13" width="14.33203125" bestFit="1" customWidth="1"/>
    <col min="14" max="14" width="15.6640625" customWidth="1"/>
    <col min="15" max="15" width="12.33203125" bestFit="1" customWidth="1"/>
    <col min="16" max="16" width="11.6640625" customWidth="1"/>
    <col min="17" max="17" width="12.77734375" customWidth="1"/>
    <col min="18" max="18" width="11.6640625" customWidth="1"/>
    <col min="19" max="19" width="12.33203125" customWidth="1"/>
    <col min="20" max="20" width="15.44140625" customWidth="1"/>
    <col min="21" max="21" width="18.109375" customWidth="1"/>
    <col min="22" max="22" width="13.77734375" customWidth="1"/>
  </cols>
  <sheetData>
    <row r="1" spans="1:28" ht="21">
      <c r="A1" s="3" t="s">
        <v>11</v>
      </c>
      <c r="H1" s="2" t="s">
        <v>12</v>
      </c>
    </row>
    <row r="2" spans="1:28">
      <c r="B2" t="s">
        <v>13</v>
      </c>
    </row>
    <row r="3" spans="1:28">
      <c r="A3" t="s">
        <v>14</v>
      </c>
      <c r="C3" s="48"/>
      <c r="F3" s="75" t="s">
        <v>15</v>
      </c>
      <c r="H3" s="5" t="s">
        <v>16</v>
      </c>
      <c r="I3" s="42" t="s">
        <v>17</v>
      </c>
      <c r="J3" s="42" t="s">
        <v>18</v>
      </c>
      <c r="K3" s="42" t="s">
        <v>19</v>
      </c>
      <c r="L3" s="42" t="s">
        <v>20</v>
      </c>
      <c r="M3" s="42" t="s">
        <v>21</v>
      </c>
      <c r="N3" s="42" t="s">
        <v>22</v>
      </c>
      <c r="O3" s="42" t="s">
        <v>23</v>
      </c>
      <c r="P3" s="42" t="s">
        <v>24</v>
      </c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spans="1:28">
      <c r="A4" s="51"/>
      <c r="B4" s="69"/>
      <c r="C4" s="76"/>
      <c r="D4" s="51"/>
      <c r="E4" s="69"/>
      <c r="H4" t="s">
        <v>25</v>
      </c>
      <c r="I4" s="56">
        <v>119</v>
      </c>
      <c r="J4" s="56">
        <f>I4/Calculation!$B$2</f>
        <v>98.347107438016536</v>
      </c>
      <c r="K4" s="26">
        <v>3</v>
      </c>
      <c r="L4" s="56">
        <f>K4*I4</f>
        <v>357</v>
      </c>
      <c r="M4" s="56">
        <f>K4*J4</f>
        <v>295.04132231404958</v>
      </c>
      <c r="N4" s="56">
        <f>L4-M4</f>
        <v>61.95867768595042</v>
      </c>
      <c r="O4" s="22" t="s">
        <v>26</v>
      </c>
    </row>
    <row r="5" spans="1:28">
      <c r="A5" s="1" t="s">
        <v>27</v>
      </c>
      <c r="B5" s="64"/>
      <c r="C5" s="76"/>
      <c r="D5" s="1" t="s">
        <v>28</v>
      </c>
      <c r="E5" s="56"/>
      <c r="F5" s="45"/>
      <c r="H5" t="s">
        <v>29</v>
      </c>
      <c r="I5" s="56">
        <v>129</v>
      </c>
      <c r="J5" s="56">
        <f>I5/Calculation!$B$2</f>
        <v>106.61157024793388</v>
      </c>
      <c r="K5" s="26">
        <v>5</v>
      </c>
      <c r="L5" s="56">
        <f t="shared" ref="L5:L28" si="0">K5*I5</f>
        <v>645</v>
      </c>
      <c r="M5" s="56">
        <f t="shared" ref="M5:M28" si="1">K5*J5</f>
        <v>533.05785123966939</v>
      </c>
      <c r="N5" s="56">
        <f t="shared" ref="N5:N11" si="2">L5-M5</f>
        <v>111.94214876033061</v>
      </c>
      <c r="O5" s="77" t="s">
        <v>30</v>
      </c>
    </row>
    <row r="6" spans="1:28">
      <c r="A6" t="s">
        <v>31</v>
      </c>
      <c r="B6" s="52">
        <f>M24</f>
        <v>3137.0495867768605</v>
      </c>
      <c r="C6" s="78"/>
      <c r="D6" s="52" t="s">
        <v>32</v>
      </c>
      <c r="E6" s="52">
        <v>55000</v>
      </c>
      <c r="F6" s="45"/>
      <c r="H6" t="s">
        <v>33</v>
      </c>
      <c r="I6" s="79">
        <v>579</v>
      </c>
      <c r="J6" s="56">
        <f>I6/Calculation!$B$2</f>
        <v>478.51239669421489</v>
      </c>
      <c r="K6" s="26">
        <v>1</v>
      </c>
      <c r="L6" s="56">
        <f t="shared" si="0"/>
        <v>579</v>
      </c>
      <c r="M6" s="56">
        <f t="shared" si="1"/>
        <v>478.51239669421489</v>
      </c>
      <c r="N6" s="56">
        <f t="shared" si="2"/>
        <v>100.48760330578511</v>
      </c>
      <c r="O6" s="77" t="s">
        <v>34</v>
      </c>
    </row>
    <row r="7" spans="1:28">
      <c r="A7" t="s">
        <v>35</v>
      </c>
      <c r="B7" s="52">
        <f>M32</f>
        <v>3290.909090909091</v>
      </c>
      <c r="C7" s="78"/>
      <c r="D7" s="52"/>
      <c r="E7" s="52"/>
      <c r="H7" t="s">
        <v>36</v>
      </c>
      <c r="I7" s="56">
        <v>169</v>
      </c>
      <c r="J7" s="56">
        <f>I7/Calculation!$B$2</f>
        <v>139.6694214876033</v>
      </c>
      <c r="K7" s="26">
        <v>1</v>
      </c>
      <c r="L7" s="56">
        <f t="shared" si="0"/>
        <v>169</v>
      </c>
      <c r="M7" s="56">
        <f t="shared" si="1"/>
        <v>139.6694214876033</v>
      </c>
      <c r="N7" s="56">
        <f t="shared" si="2"/>
        <v>29.330578512396698</v>
      </c>
      <c r="O7" s="77" t="s">
        <v>37</v>
      </c>
    </row>
    <row r="8" spans="1:28">
      <c r="C8" s="78"/>
      <c r="D8" s="52"/>
      <c r="E8" s="52"/>
      <c r="H8" t="s">
        <v>38</v>
      </c>
      <c r="I8" s="56">
        <v>249</v>
      </c>
      <c r="J8" s="56">
        <f>I8/Calculation!$B$2</f>
        <v>205.78512396694217</v>
      </c>
      <c r="K8" s="26">
        <v>1</v>
      </c>
      <c r="L8" s="56">
        <f t="shared" si="0"/>
        <v>249</v>
      </c>
      <c r="M8" s="56">
        <f t="shared" si="1"/>
        <v>205.78512396694217</v>
      </c>
      <c r="N8" s="56">
        <f t="shared" si="2"/>
        <v>43.214876033057834</v>
      </c>
      <c r="O8" s="77" t="s">
        <v>39</v>
      </c>
    </row>
    <row r="9" spans="1:28">
      <c r="B9" s="52"/>
      <c r="C9" s="78"/>
      <c r="D9" s="52"/>
      <c r="E9" s="52"/>
      <c r="H9" t="s">
        <v>40</v>
      </c>
      <c r="I9" s="56">
        <v>680</v>
      </c>
      <c r="J9" s="56">
        <f>I9/Calculation!$B$2</f>
        <v>561.98347107438019</v>
      </c>
      <c r="K9" s="26">
        <v>1</v>
      </c>
      <c r="L9" s="56">
        <f t="shared" si="0"/>
        <v>680</v>
      </c>
      <c r="M9" s="56">
        <f t="shared" si="1"/>
        <v>561.98347107438019</v>
      </c>
      <c r="N9" s="56">
        <f t="shared" si="2"/>
        <v>118.01652892561981</v>
      </c>
      <c r="O9" s="54" t="s">
        <v>41</v>
      </c>
    </row>
    <row r="10" spans="1:28">
      <c r="B10" s="52"/>
      <c r="C10" s="78"/>
      <c r="D10" s="52"/>
      <c r="E10" s="52"/>
      <c r="H10" t="s">
        <v>42</v>
      </c>
      <c r="I10" s="56">
        <v>84.99</v>
      </c>
      <c r="J10" s="56">
        <f>I10/Calculation!$B$2</f>
        <v>70.239669421487605</v>
      </c>
      <c r="K10" s="26">
        <v>1</v>
      </c>
      <c r="L10" s="56">
        <f t="shared" si="0"/>
        <v>84.99</v>
      </c>
      <c r="M10" s="56">
        <f t="shared" si="1"/>
        <v>70.239669421487605</v>
      </c>
      <c r="N10" s="56">
        <f t="shared" si="2"/>
        <v>14.75033057851239</v>
      </c>
      <c r="O10" s="77" t="s">
        <v>43</v>
      </c>
    </row>
    <row r="11" spans="1:28">
      <c r="A11" s="1" t="s">
        <v>44</v>
      </c>
      <c r="B11" s="52"/>
      <c r="C11" s="78"/>
      <c r="D11" s="52"/>
      <c r="E11" s="52"/>
      <c r="H11" t="s">
        <v>45</v>
      </c>
      <c r="I11" s="56">
        <v>4.99</v>
      </c>
      <c r="J11" s="55">
        <f>I11/Calculation!$B$2</f>
        <v>4.123966942148761</v>
      </c>
      <c r="K11" s="26">
        <v>1</v>
      </c>
      <c r="L11" s="56">
        <f t="shared" si="0"/>
        <v>4.99</v>
      </c>
      <c r="M11" s="56">
        <f t="shared" si="1"/>
        <v>4.123966942148761</v>
      </c>
      <c r="N11" s="56">
        <f t="shared" si="2"/>
        <v>0.86603305785123919</v>
      </c>
      <c r="O11" s="77" t="s">
        <v>46</v>
      </c>
    </row>
    <row r="12" spans="1:28">
      <c r="A12" s="1"/>
      <c r="B12" s="52"/>
      <c r="C12" s="78"/>
      <c r="D12" s="52"/>
      <c r="E12" s="52"/>
      <c r="H12" s="23" t="s">
        <v>47</v>
      </c>
      <c r="I12" s="80"/>
      <c r="J12" s="80"/>
      <c r="K12" s="31"/>
      <c r="L12" s="81"/>
      <c r="M12" s="81"/>
      <c r="N12" s="81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</row>
    <row r="13" spans="1:28">
      <c r="A13" t="s">
        <v>48</v>
      </c>
      <c r="B13" s="52">
        <f>N24+N32+N45</f>
        <v>1625.4911570247932</v>
      </c>
      <c r="C13" s="78"/>
      <c r="D13" s="52"/>
      <c r="E13" s="52"/>
      <c r="H13" t="s">
        <v>49</v>
      </c>
      <c r="I13" s="56">
        <v>3.99</v>
      </c>
      <c r="J13" s="56">
        <f>I13/Calculation!$B$2</f>
        <v>3.2975206611570251</v>
      </c>
      <c r="K13" s="30">
        <v>5</v>
      </c>
      <c r="L13" s="56">
        <f t="shared" si="0"/>
        <v>19.950000000000003</v>
      </c>
      <c r="M13" s="56">
        <f t="shared" si="1"/>
        <v>16.487603305785125</v>
      </c>
      <c r="N13" s="56">
        <f t="shared" ref="N13:N21" si="3">L13-M13</f>
        <v>3.4623966942148776</v>
      </c>
      <c r="O13" s="77" t="s">
        <v>50</v>
      </c>
    </row>
    <row r="14" spans="1:28">
      <c r="B14" s="52"/>
      <c r="C14" s="78"/>
      <c r="D14" s="52"/>
      <c r="E14" s="52"/>
      <c r="H14" t="s">
        <v>51</v>
      </c>
      <c r="I14" s="56">
        <v>29.99</v>
      </c>
      <c r="J14" s="56">
        <f>I14/Calculation!$B$2</f>
        <v>24.785123966942148</v>
      </c>
      <c r="K14" s="30">
        <v>1</v>
      </c>
      <c r="L14" s="56">
        <f t="shared" si="0"/>
        <v>29.99</v>
      </c>
      <c r="M14" s="56">
        <f t="shared" si="1"/>
        <v>24.785123966942148</v>
      </c>
      <c r="N14" s="56">
        <f t="shared" si="3"/>
        <v>5.2048760330578503</v>
      </c>
      <c r="O14" s="77" t="s">
        <v>52</v>
      </c>
    </row>
    <row r="15" spans="1:28">
      <c r="A15" t="s">
        <v>53</v>
      </c>
      <c r="B15" s="52">
        <f>M45</f>
        <v>1144.3801652892562</v>
      </c>
      <c r="C15" s="78"/>
      <c r="D15" s="35" t="s">
        <v>54</v>
      </c>
      <c r="E15" s="52"/>
      <c r="H15" t="s">
        <v>55</v>
      </c>
      <c r="I15" s="56">
        <v>539</v>
      </c>
      <c r="J15" s="56">
        <f>I15/Calculation!$B$2</f>
        <v>445.4545454545455</v>
      </c>
      <c r="K15" s="30">
        <v>1</v>
      </c>
      <c r="L15" s="56">
        <f t="shared" si="0"/>
        <v>539</v>
      </c>
      <c r="M15" s="56">
        <f t="shared" si="1"/>
        <v>445.4545454545455</v>
      </c>
      <c r="N15" s="56">
        <f t="shared" si="3"/>
        <v>93.545454545454504</v>
      </c>
      <c r="O15" s="77" t="s">
        <v>56</v>
      </c>
    </row>
    <row r="16" spans="1:28">
      <c r="B16" s="52"/>
      <c r="C16" s="78"/>
      <c r="D16" s="52" t="s">
        <v>57</v>
      </c>
      <c r="E16" s="52">
        <v>20000</v>
      </c>
      <c r="F16" s="45"/>
      <c r="H16" t="s">
        <v>58</v>
      </c>
      <c r="I16" s="56">
        <v>59.99</v>
      </c>
      <c r="J16" s="56">
        <f>I16/Calculation!$B$2</f>
        <v>49.578512396694215</v>
      </c>
      <c r="K16" s="30">
        <v>1</v>
      </c>
      <c r="L16" s="56">
        <f t="shared" si="0"/>
        <v>59.99</v>
      </c>
      <c r="M16" s="56">
        <f t="shared" si="1"/>
        <v>49.578512396694215</v>
      </c>
      <c r="N16" s="56">
        <f t="shared" si="3"/>
        <v>10.411487603305787</v>
      </c>
      <c r="O16" s="77" t="s">
        <v>59</v>
      </c>
    </row>
    <row r="17" spans="1:28">
      <c r="A17" s="1" t="s">
        <v>60</v>
      </c>
      <c r="B17" s="52"/>
      <c r="C17" s="78"/>
      <c r="D17" s="52"/>
      <c r="E17" s="52"/>
      <c r="H17" s="23" t="s">
        <v>61</v>
      </c>
      <c r="I17" s="80"/>
      <c r="J17" s="80"/>
      <c r="K17" s="31"/>
      <c r="L17" s="81"/>
      <c r="M17" s="81"/>
      <c r="N17" s="81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</row>
    <row r="18" spans="1:28">
      <c r="A18" t="s">
        <v>62</v>
      </c>
      <c r="B18" s="52">
        <f>E23-(B6+B7+B16+B13+B15+B14)</f>
        <v>69784.17</v>
      </c>
      <c r="C18" s="78"/>
      <c r="D18" s="52"/>
      <c r="E18" s="52"/>
      <c r="H18" t="s">
        <v>63</v>
      </c>
      <c r="I18" s="43">
        <v>9.99</v>
      </c>
      <c r="J18" s="43">
        <f>I18/Calculation!$B$2</f>
        <v>8.2561983471074392</v>
      </c>
      <c r="K18" s="32">
        <v>3</v>
      </c>
      <c r="L18" s="43">
        <f t="shared" si="0"/>
        <v>29.97</v>
      </c>
      <c r="M18" s="43">
        <f t="shared" si="1"/>
        <v>24.768595041322317</v>
      </c>
      <c r="N18" s="43">
        <f t="shared" si="3"/>
        <v>5.2014049586776814</v>
      </c>
      <c r="O18" s="77" t="s">
        <v>64</v>
      </c>
    </row>
    <row r="19" spans="1:28">
      <c r="A19" t="s">
        <v>65</v>
      </c>
      <c r="B19" s="52">
        <v>0</v>
      </c>
      <c r="C19" s="78"/>
      <c r="D19" s="35" t="s">
        <v>66</v>
      </c>
      <c r="E19" s="52"/>
      <c r="H19" t="s">
        <v>67</v>
      </c>
      <c r="I19" s="43">
        <v>3.99</v>
      </c>
      <c r="J19" s="43">
        <f>I19/Calculation!$B$2</f>
        <v>3.2975206611570251</v>
      </c>
      <c r="K19" s="32">
        <v>5</v>
      </c>
      <c r="L19" s="43">
        <f t="shared" si="0"/>
        <v>19.950000000000003</v>
      </c>
      <c r="M19" s="43">
        <f t="shared" si="1"/>
        <v>16.487603305785125</v>
      </c>
      <c r="N19" s="43">
        <f t="shared" si="3"/>
        <v>3.4623966942148776</v>
      </c>
      <c r="O19" s="77" t="s">
        <v>68</v>
      </c>
    </row>
    <row r="20" spans="1:28">
      <c r="B20" s="52"/>
      <c r="C20" s="78"/>
      <c r="D20" s="52" t="s">
        <v>69</v>
      </c>
      <c r="E20" s="52">
        <f>I32</f>
        <v>3982</v>
      </c>
      <c r="H20" t="s">
        <v>70</v>
      </c>
      <c r="I20" s="43">
        <v>179</v>
      </c>
      <c r="J20" s="43">
        <f>I20/Calculation!$B$2</f>
        <v>147.93388429752068</v>
      </c>
      <c r="K20" s="32">
        <v>1</v>
      </c>
      <c r="L20" s="43">
        <f t="shared" si="0"/>
        <v>179</v>
      </c>
      <c r="M20" s="43">
        <f t="shared" si="1"/>
        <v>147.93388429752068</v>
      </c>
      <c r="N20" s="43">
        <f t="shared" si="3"/>
        <v>31.066115702479323</v>
      </c>
      <c r="O20" s="77" t="s">
        <v>71</v>
      </c>
    </row>
    <row r="21" spans="1:28">
      <c r="B21" s="52"/>
      <c r="C21" s="84"/>
      <c r="D21" s="52"/>
      <c r="E21" s="52"/>
      <c r="H21" t="s">
        <v>72</v>
      </c>
      <c r="I21" s="43">
        <v>149</v>
      </c>
      <c r="J21" s="43">
        <f>I21/Calculation!$B$2</f>
        <v>123.14049586776859</v>
      </c>
      <c r="K21" s="32">
        <v>1</v>
      </c>
      <c r="L21" s="43">
        <f t="shared" si="0"/>
        <v>149</v>
      </c>
      <c r="M21" s="43">
        <f t="shared" si="1"/>
        <v>123.14049586776859</v>
      </c>
      <c r="N21" s="43">
        <f t="shared" si="3"/>
        <v>25.859504132231407</v>
      </c>
      <c r="O21" s="77" t="s">
        <v>73</v>
      </c>
    </row>
    <row r="22" spans="1:28">
      <c r="B22" s="52"/>
      <c r="C22" s="84"/>
      <c r="D22" s="52"/>
      <c r="E22" s="52"/>
      <c r="I22" s="43"/>
      <c r="J22" s="55"/>
      <c r="L22" s="56"/>
      <c r="M22" s="55"/>
      <c r="N22" s="55"/>
      <c r="O22" s="77"/>
    </row>
    <row r="23" spans="1:28">
      <c r="A23" s="4" t="s">
        <v>74</v>
      </c>
      <c r="B23" s="85">
        <f>SUM(B6:B19)</f>
        <v>78982</v>
      </c>
      <c r="C23" s="86"/>
      <c r="D23" s="36" t="s">
        <v>74</v>
      </c>
      <c r="E23" s="85">
        <f>SUM(E6:E22)</f>
        <v>78982</v>
      </c>
      <c r="F23" s="87"/>
      <c r="I23" s="45"/>
      <c r="J23" s="88"/>
      <c r="L23" s="88"/>
      <c r="M23" s="88"/>
      <c r="N23" s="88"/>
    </row>
    <row r="24" spans="1:28">
      <c r="B24" s="55"/>
      <c r="E24" s="55"/>
      <c r="H24" s="4" t="s">
        <v>75</v>
      </c>
      <c r="I24" s="65">
        <f xml:space="preserve"> SUM(I4:I21)</f>
        <v>2989.9299999999994</v>
      </c>
      <c r="J24" s="56">
        <f>SUM(J4:J21)</f>
        <v>2471.0165289256202</v>
      </c>
      <c r="K24" s="87"/>
      <c r="L24" s="56">
        <f>SUM(L4:L21)</f>
        <v>3795.8299999999986</v>
      </c>
      <c r="M24" s="56">
        <f>SUM(M4:M21)</f>
        <v>3137.0495867768605</v>
      </c>
      <c r="N24" s="56">
        <f>SUM(N4:N21)</f>
        <v>658.7804132231405</v>
      </c>
    </row>
    <row r="25" spans="1:28">
      <c r="E25" s="55"/>
      <c r="I25" s="56"/>
      <c r="J25" s="56"/>
      <c r="L25" s="56"/>
      <c r="M25" s="56"/>
      <c r="N25" s="56"/>
    </row>
    <row r="26" spans="1:28">
      <c r="H26" s="5" t="s">
        <v>76</v>
      </c>
      <c r="I26" s="89" t="s">
        <v>17</v>
      </c>
      <c r="J26" s="89" t="s">
        <v>18</v>
      </c>
      <c r="K26" s="42" t="s">
        <v>19</v>
      </c>
      <c r="L26" s="89" t="s">
        <v>20</v>
      </c>
      <c r="M26" s="89" t="s">
        <v>21</v>
      </c>
      <c r="N26" s="89" t="s">
        <v>22</v>
      </c>
      <c r="O26" s="42" t="s">
        <v>23</v>
      </c>
      <c r="P26" s="42" t="s">
        <v>24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 spans="1:28">
      <c r="H27" t="s">
        <v>77</v>
      </c>
      <c r="I27" s="56">
        <v>1849</v>
      </c>
      <c r="J27" s="56">
        <f>I27/Calculation!$B$2</f>
        <v>1528.0991735537191</v>
      </c>
      <c r="K27" s="26">
        <v>1</v>
      </c>
      <c r="L27" s="56">
        <f>K27*I27</f>
        <v>1849</v>
      </c>
      <c r="M27" s="56">
        <f t="shared" si="1"/>
        <v>1528.0991735537191</v>
      </c>
      <c r="N27" s="56">
        <f>L27-M27</f>
        <v>320.90082644628092</v>
      </c>
      <c r="O27" s="77" t="s">
        <v>78</v>
      </c>
    </row>
    <row r="28" spans="1:28">
      <c r="H28" t="s">
        <v>79</v>
      </c>
      <c r="I28" s="56">
        <v>2133</v>
      </c>
      <c r="J28" s="56">
        <f>I28/Calculation!$B$2</f>
        <v>1762.8099173553719</v>
      </c>
      <c r="K28" s="26">
        <v>1</v>
      </c>
      <c r="L28" s="56">
        <f t="shared" si="0"/>
        <v>2133</v>
      </c>
      <c r="M28" s="56">
        <f t="shared" si="1"/>
        <v>1762.8099173553719</v>
      </c>
      <c r="N28" s="56">
        <f>L28-M28</f>
        <v>370.19008264462809</v>
      </c>
      <c r="O28" s="77" t="s">
        <v>80</v>
      </c>
    </row>
    <row r="29" spans="1:28">
      <c r="B29" s="24"/>
      <c r="I29" s="45"/>
      <c r="J29" s="55"/>
      <c r="L29" s="55"/>
      <c r="M29" s="55"/>
      <c r="N29" s="55"/>
      <c r="O29" s="77"/>
    </row>
    <row r="30" spans="1:28">
      <c r="I30" s="45"/>
      <c r="J30" s="45"/>
      <c r="L30" s="45"/>
      <c r="M30" s="45"/>
      <c r="N30" s="45"/>
    </row>
    <row r="31" spans="1:28">
      <c r="I31" s="45"/>
      <c r="J31" s="45"/>
      <c r="L31" s="45"/>
      <c r="M31" s="45"/>
      <c r="N31" s="45"/>
    </row>
    <row r="32" spans="1:28">
      <c r="H32" s="4" t="s">
        <v>74</v>
      </c>
      <c r="I32" s="50">
        <f>SUM(I27:I28)</f>
        <v>3982</v>
      </c>
      <c r="J32" s="50">
        <f>SUM(J27:J28)</f>
        <v>3290.909090909091</v>
      </c>
      <c r="K32" s="50"/>
      <c r="L32" s="50">
        <f>SUM(L27:L28)</f>
        <v>3982</v>
      </c>
      <c r="M32" s="50">
        <f>SUM(M27:M28)</f>
        <v>3290.909090909091</v>
      </c>
      <c r="N32" s="50">
        <f>SUM(N27:N28)</f>
        <v>691.09090909090901</v>
      </c>
    </row>
    <row r="33" spans="8:28">
      <c r="I33" s="60"/>
      <c r="J33" s="60"/>
      <c r="L33" s="60"/>
      <c r="M33" s="60"/>
      <c r="N33" s="60"/>
    </row>
    <row r="34" spans="8:28">
      <c r="H34" s="5" t="s">
        <v>81</v>
      </c>
      <c r="I34" s="42" t="s">
        <v>17</v>
      </c>
      <c r="J34" s="42" t="s">
        <v>18</v>
      </c>
      <c r="K34" s="42" t="s">
        <v>19</v>
      </c>
      <c r="L34" s="42" t="s">
        <v>20</v>
      </c>
      <c r="M34" s="42" t="s">
        <v>21</v>
      </c>
      <c r="N34" s="42" t="s">
        <v>22</v>
      </c>
      <c r="O34" s="42" t="s">
        <v>23</v>
      </c>
      <c r="P34" s="42" t="s">
        <v>24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 spans="8:28">
      <c r="I35" s="45"/>
      <c r="J35" s="45"/>
      <c r="L35" s="45"/>
      <c r="M35" s="45"/>
      <c r="N35" s="45"/>
    </row>
    <row r="36" spans="8:28">
      <c r="H36" s="4" t="s">
        <v>75</v>
      </c>
      <c r="I36" s="87"/>
      <c r="J36" s="87"/>
      <c r="K36" s="87"/>
      <c r="L36" s="87"/>
      <c r="M36" s="87"/>
      <c r="N36" s="87"/>
    </row>
    <row r="37" spans="8:28">
      <c r="I37" s="60"/>
      <c r="J37" s="60"/>
      <c r="L37" s="60"/>
      <c r="M37" s="60"/>
      <c r="N37" s="60"/>
    </row>
    <row r="38" spans="8:28">
      <c r="H38" s="5" t="s">
        <v>82</v>
      </c>
      <c r="I38" s="42" t="s">
        <v>17</v>
      </c>
      <c r="J38" s="42" t="s">
        <v>18</v>
      </c>
      <c r="K38" s="42" t="s">
        <v>19</v>
      </c>
      <c r="L38" s="42" t="s">
        <v>20</v>
      </c>
      <c r="M38" s="42" t="s">
        <v>21</v>
      </c>
      <c r="N38" s="42" t="s">
        <v>22</v>
      </c>
      <c r="O38" s="42" t="s">
        <v>23</v>
      </c>
      <c r="P38" s="42" t="s">
        <v>24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 spans="8:28">
      <c r="H39" t="s">
        <v>83</v>
      </c>
      <c r="I39" s="43">
        <v>70</v>
      </c>
      <c r="J39" s="43">
        <v>70</v>
      </c>
      <c r="K39">
        <v>1</v>
      </c>
      <c r="L39" s="43">
        <f>I39*K39</f>
        <v>70</v>
      </c>
      <c r="M39" s="43">
        <f>J39*K39</f>
        <v>70</v>
      </c>
      <c r="N39" s="45">
        <f>M39-L39</f>
        <v>0</v>
      </c>
      <c r="O39" s="54" t="s">
        <v>84</v>
      </c>
    </row>
    <row r="40" spans="8:28">
      <c r="H40" t="s">
        <v>85</v>
      </c>
      <c r="I40" s="90">
        <v>1300</v>
      </c>
      <c r="J40" s="43">
        <f>I40/Calculation!B2</f>
        <v>1074.3801652892562</v>
      </c>
      <c r="K40">
        <v>1</v>
      </c>
      <c r="L40" s="43">
        <f>I40*K40</f>
        <v>1300</v>
      </c>
      <c r="M40" s="43">
        <f>J40*K40</f>
        <v>1074.3801652892562</v>
      </c>
      <c r="N40" s="43">
        <f>L40-M40</f>
        <v>225.61983471074382</v>
      </c>
      <c r="O40" s="158" t="s">
        <v>86</v>
      </c>
    </row>
    <row r="41" spans="8:28">
      <c r="H41" t="s">
        <v>87</v>
      </c>
      <c r="I41" s="43">
        <v>50</v>
      </c>
      <c r="J41" s="43">
        <v>50</v>
      </c>
      <c r="K41">
        <v>1</v>
      </c>
      <c r="L41" s="43">
        <v>50</v>
      </c>
      <c r="M41" s="43">
        <v>0</v>
      </c>
      <c r="N41" s="43">
        <f>I41</f>
        <v>50</v>
      </c>
      <c r="O41" s="54" t="s">
        <v>84</v>
      </c>
    </row>
    <row r="42" spans="8:28">
      <c r="I42" s="45"/>
      <c r="J42" s="45"/>
      <c r="L42" s="45"/>
      <c r="M42" s="45"/>
      <c r="N42" s="45"/>
    </row>
    <row r="43" spans="8:28">
      <c r="I43" s="45"/>
      <c r="J43" s="45"/>
      <c r="L43" s="45"/>
      <c r="M43" s="45"/>
      <c r="N43" s="45"/>
      <c r="O43" s="54"/>
    </row>
    <row r="44" spans="8:28">
      <c r="I44" s="45"/>
      <c r="J44" s="45"/>
      <c r="L44" s="45"/>
      <c r="M44" s="45"/>
      <c r="N44" s="45"/>
      <c r="O44" s="54"/>
    </row>
    <row r="45" spans="8:28">
      <c r="H45" s="4" t="s">
        <v>74</v>
      </c>
      <c r="I45" s="87"/>
      <c r="J45" s="87"/>
      <c r="K45" s="87"/>
      <c r="L45" s="50">
        <f>SUM(L39:L41)</f>
        <v>1420</v>
      </c>
      <c r="M45" s="50">
        <f>SUM(M39:M41)</f>
        <v>1144.3801652892562</v>
      </c>
      <c r="N45" s="50">
        <f>SUM(N39:N41)</f>
        <v>275.61983471074382</v>
      </c>
    </row>
    <row r="47" spans="8:28">
      <c r="H47" s="5" t="s">
        <v>88</v>
      </c>
      <c r="I47" s="91" t="s">
        <v>89</v>
      </c>
      <c r="J47" s="91" t="s">
        <v>90</v>
      </c>
      <c r="K47" s="92" t="s">
        <v>91</v>
      </c>
      <c r="L47" s="91" t="s">
        <v>92</v>
      </c>
      <c r="M47" s="91" t="s">
        <v>93</v>
      </c>
      <c r="N47" s="91" t="s">
        <v>94</v>
      </c>
      <c r="O47" s="92" t="s">
        <v>95</v>
      </c>
      <c r="P47" s="92" t="s">
        <v>96</v>
      </c>
      <c r="Q47" s="92" t="s">
        <v>97</v>
      </c>
      <c r="R47" s="92" t="s">
        <v>98</v>
      </c>
      <c r="S47" s="92" t="s">
        <v>99</v>
      </c>
      <c r="T47" s="92" t="s">
        <v>100</v>
      </c>
      <c r="U47" s="5"/>
      <c r="V47" s="42"/>
      <c r="W47" s="42"/>
      <c r="X47" s="42" t="s">
        <v>89</v>
      </c>
      <c r="Y47" s="42"/>
      <c r="Z47" s="42"/>
      <c r="AA47" s="42"/>
      <c r="AB47" s="42"/>
    </row>
    <row r="48" spans="8:28">
      <c r="H48" s="161" t="s">
        <v>101</v>
      </c>
      <c r="I48" s="93"/>
      <c r="J48" s="93"/>
      <c r="K48" s="94"/>
      <c r="L48" s="93"/>
      <c r="M48" s="93"/>
      <c r="N48" s="93"/>
      <c r="O48" s="94"/>
      <c r="P48" s="94"/>
      <c r="Q48" s="94"/>
      <c r="R48" s="94"/>
      <c r="S48" s="94"/>
      <c r="T48" s="94"/>
      <c r="U48" s="1"/>
    </row>
    <row r="49" spans="7:24">
      <c r="H49" s="55" t="s">
        <v>102</v>
      </c>
      <c r="I49" s="56">
        <f>E16</f>
        <v>20000</v>
      </c>
      <c r="J49" s="56">
        <f>I49-I50</f>
        <v>19444.444444444445</v>
      </c>
      <c r="K49" s="56">
        <f t="shared" ref="K49:T49" si="4">J49-J50</f>
        <v>18888.888888888891</v>
      </c>
      <c r="L49" s="56">
        <f t="shared" si="4"/>
        <v>18333.333333333336</v>
      </c>
      <c r="M49" s="56">
        <f t="shared" si="4"/>
        <v>17777.777777777781</v>
      </c>
      <c r="N49" s="56">
        <f t="shared" si="4"/>
        <v>17222.222222222226</v>
      </c>
      <c r="O49" s="56">
        <f t="shared" si="4"/>
        <v>16666.666666666672</v>
      </c>
      <c r="P49" s="56">
        <f t="shared" si="4"/>
        <v>16111.111111111117</v>
      </c>
      <c r="Q49" s="56">
        <f t="shared" si="4"/>
        <v>15555.555555555562</v>
      </c>
      <c r="R49" s="56">
        <f t="shared" si="4"/>
        <v>15000.000000000007</v>
      </c>
      <c r="S49" s="56">
        <f t="shared" si="4"/>
        <v>14444.444444444453</v>
      </c>
      <c r="T49" s="56">
        <f t="shared" si="4"/>
        <v>13888.888888888898</v>
      </c>
      <c r="U49" s="33" t="s">
        <v>103</v>
      </c>
      <c r="V49" s="33">
        <f>T49-X49</f>
        <v>13333.333333333343</v>
      </c>
      <c r="X49" s="56">
        <f>$I$49/$G$50</f>
        <v>555.55555555555554</v>
      </c>
    </row>
    <row r="50" spans="7:24">
      <c r="G50">
        <v>36</v>
      </c>
      <c r="H50" t="s">
        <v>104</v>
      </c>
      <c r="I50" s="56">
        <f>$I$49/$G$50</f>
        <v>555.55555555555554</v>
      </c>
      <c r="J50" s="56">
        <f>$I$49/$G$50</f>
        <v>555.55555555555554</v>
      </c>
      <c r="K50" s="56">
        <f>$I$49/$G$50</f>
        <v>555.55555555555554</v>
      </c>
      <c r="L50" s="56">
        <f t="shared" ref="L50:T50" si="5">$I$49/$G$50</f>
        <v>555.55555555555554</v>
      </c>
      <c r="M50" s="56">
        <f>$I$49/$G$50</f>
        <v>555.55555555555554</v>
      </c>
      <c r="N50" s="56">
        <f t="shared" si="5"/>
        <v>555.55555555555554</v>
      </c>
      <c r="O50" s="56">
        <f t="shared" si="5"/>
        <v>555.55555555555554</v>
      </c>
      <c r="P50" s="56">
        <f t="shared" si="5"/>
        <v>555.55555555555554</v>
      </c>
      <c r="Q50" s="56">
        <f t="shared" si="5"/>
        <v>555.55555555555554</v>
      </c>
      <c r="R50" s="56">
        <f t="shared" si="5"/>
        <v>555.55555555555554</v>
      </c>
      <c r="S50" s="56">
        <f t="shared" si="5"/>
        <v>555.55555555555554</v>
      </c>
      <c r="T50" s="56">
        <f t="shared" si="5"/>
        <v>555.55555555555554</v>
      </c>
      <c r="U50" s="33" t="s">
        <v>75</v>
      </c>
      <c r="V50" s="33">
        <f>SUM(I50:T50)</f>
        <v>6666.666666666667</v>
      </c>
    </row>
    <row r="51" spans="7:24">
      <c r="G51" s="95">
        <v>7.4499999999999997E-2</v>
      </c>
      <c r="H51" t="s">
        <v>105</v>
      </c>
      <c r="I51" s="56">
        <f>I49*$G$51/12</f>
        <v>124.16666666666667</v>
      </c>
      <c r="J51" s="56">
        <f t="shared" ref="J51:T51" si="6">J49*$G$51/12</f>
        <v>120.7175925925926</v>
      </c>
      <c r="K51" s="56">
        <f t="shared" si="6"/>
        <v>117.26851851851852</v>
      </c>
      <c r="L51" s="56">
        <f t="shared" si="6"/>
        <v>113.81944444444446</v>
      </c>
      <c r="M51" s="56">
        <f t="shared" si="6"/>
        <v>110.37037037037038</v>
      </c>
      <c r="N51" s="56">
        <f t="shared" si="6"/>
        <v>106.92129629629632</v>
      </c>
      <c r="O51" s="56">
        <f t="shared" si="6"/>
        <v>103.47222222222224</v>
      </c>
      <c r="P51" s="56">
        <f t="shared" si="6"/>
        <v>100.02314814814817</v>
      </c>
      <c r="Q51" s="56">
        <f t="shared" si="6"/>
        <v>96.574074074074119</v>
      </c>
      <c r="R51" s="56">
        <f t="shared" si="6"/>
        <v>93.125000000000043</v>
      </c>
      <c r="S51" s="56">
        <f>S49*$G$51/12</f>
        <v>89.675925925925981</v>
      </c>
      <c r="T51" s="56">
        <f t="shared" si="6"/>
        <v>86.226851851851904</v>
      </c>
      <c r="U51" s="33" t="s">
        <v>75</v>
      </c>
      <c r="V51" s="33">
        <f>SUM(I51:T51)</f>
        <v>1262.3611111111115</v>
      </c>
    </row>
    <row r="53" spans="7:24">
      <c r="H53" t="s">
        <v>106</v>
      </c>
      <c r="I53" s="56">
        <f>SUM(I51:T51)</f>
        <v>1262.3611111111115</v>
      </c>
    </row>
    <row r="54" spans="7:24">
      <c r="X54" s="56"/>
    </row>
  </sheetData>
  <hyperlinks>
    <hyperlink ref="O4" r:id="rId1" location="content" xr:uid="{32724456-60BF-444C-9426-7B367B72D823}"/>
    <hyperlink ref="O15" r:id="rId2" display="https://www.coolblue.be/product/858209/hp-color-laserjet-pro-m283fdw-mfp.html?cmt=c_a%2Ccid_16731022239%2Caid_140337336372%2Ctid_pla-318416504858%2Cgn_g%2Cd_c&amp;utm_source=google&amp;utm_medium=cpc&amp;utm_content=shopping&amp;gclid=Cj0KCQjw-fmZBhDtARIsAH6H8qgySnNCidJA2Z_IlR0pnLnqiQAo3D8KXi57f7Jfe4LAnd5LnQh6igYaAhz-EALw_wcB" xr:uid="{F94DC06E-F998-4204-A3D3-A36C59CB6C6D}"/>
    <hyperlink ref="O11" r:id="rId3" xr:uid="{F536ACBE-BCE4-4CB1-8484-804EF4D3B869}"/>
    <hyperlink ref="O7" r:id="rId4" xr:uid="{B57984CD-8043-491B-8BA6-C4C8FA08F3C3}"/>
    <hyperlink ref="O8" r:id="rId5" xr:uid="{EE57DF24-859D-4ACD-8687-E1364D7BABCD}"/>
    <hyperlink ref="O5" r:id="rId6" xr:uid="{D2563924-56D0-48A5-9FC3-B3921717A303}"/>
    <hyperlink ref="O10" r:id="rId7" display="https://www.coolblue.be/product/891873/bresser-br-225b-led-daglichtset.html?cmt=c_a%2Ccid_16560080773%2Caid_132450828622%2Ctid_aud-1676514780854%3Apla-307831767538%2Cgn_g%2Cd_c&amp;utm_source=google&amp;utm_medium=cpc&amp;utm_content=shopping&amp;gclid=Cj0KCQjw-fmZBhDtARIsAH6H8qhq0EkYLz0AKdalF4ZwQkous3QulkCIob21pG_NnPzDibL1Q-rN1wcaAl4ZEALw_wcB" xr:uid="{8F358D09-48C8-49B3-A2AC-C5692CD83938}"/>
    <hyperlink ref="O9" r:id="rId8" display="https://brookpad.be/en/products/nikon-d3500-w-af-p-dx-nikkor-18-55mm-f-3-5-5-6g-vr-black?variant=42807637704943&amp;utm_source=google&amp;utm_medium=organic&amp;utm_campaign=EFLcomEN+USD&amp;utm_content=Nikon+D3500+W%2F+AF-P+DX+NIKKOR+18-55mm+f%2F3.5-5.6G+VR+Black&amp;shpxid=1e28a4c5-d65a-46e1-9d31-7e35482f671b" xr:uid="{B7533018-0E05-45E0-8D75-9CDBB4B27255}"/>
    <hyperlink ref="O16" r:id="rId9" display="https://productpine.com/nl/products/profoon-cordless-telephone-3-handsets?channable=027fcd6964003433353531303033353038393439c8&amp;variant=43551003508949&amp;utm_source=google&amp;utm_medium=free_listing&amp;utm_campaign=free_listing&amp;utm_source=google&amp;utm_medium=cpc&amp;utm_campaign=18136423564&amp;utm_content=&amp;utm_term=&amp;gclid=Cj0KCQjw-fmZBhDtARIsAH6H8qg1FQtZ10ktal2SoLqmyKKICqVHQmyzIq8RRXh1OBNyIP3YMYxxQeYaAv0MEALw_wcB" xr:uid="{D1F887E9-0F52-46F5-8C93-8D97670B0D54}"/>
    <hyperlink ref="O6" r:id="rId10" xr:uid="{213294D6-F247-4241-8A4E-7297B631C9A5}"/>
    <hyperlink ref="O18" r:id="rId11" xr:uid="{8D7ED335-D580-4543-9E31-F0BD4E204CB3}"/>
    <hyperlink ref="O19" r:id="rId12" xr:uid="{A0F98E8B-A646-41E7-865B-829841CE46A9}"/>
    <hyperlink ref="O13" r:id="rId13" xr:uid="{C85DEC36-778D-4BBA-8AB6-02BA85E8A5F0}"/>
    <hyperlink ref="O14" r:id="rId14" xr:uid="{E92DAF16-85DD-40CC-8BC4-C40B7071F53F}"/>
    <hyperlink ref="O20" r:id="rId15" xr:uid="{922F9F2A-438A-4BDC-821E-0B50AA707664}"/>
    <hyperlink ref="O21" r:id="rId16" xr:uid="{6FEAF6E4-83C6-4BBC-9B62-88B293D1399A}"/>
    <hyperlink ref="O27" r:id="rId17" xr:uid="{46DA371B-E04A-46BA-8016-8885F5DD07B1}"/>
    <hyperlink ref="O28" r:id="rId18" xr:uid="{FE8E90C9-D159-416A-8401-8D86AF4ECA5D}"/>
    <hyperlink ref="O39" r:id="rId19" xr:uid="{23284220-F14E-FA46-B199-5C147FB153AF}"/>
    <hyperlink ref="O41" r:id="rId20" xr:uid="{CC87E141-053B-0B4A-9B3C-325F72EC7F95}"/>
    <hyperlink ref="O40" r:id="rId21" location=":~:text=Notary%20and%20Ministry%20of%20Economy,statutory%20business%20plan%20are%20included.&amp;text=VAT%20registration%2C%20if%20needed%2C%20100,EUR%20fee%20%2B%20EORI%20registration%20free." xr:uid="{CD90D0D6-61D3-A444-A493-6BBD67281BC6}"/>
  </hyperlinks>
  <pageMargins left="0.7" right="0.7" top="0.75" bottom="0.75" header="0.3" footer="0.3"/>
  <pageSetup paperSize="9"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B599-13F1-CA49-A42C-CA464C6CBDC7}">
  <dimension ref="A1:AX49"/>
  <sheetViews>
    <sheetView topLeftCell="A15" zoomScaleNormal="100" workbookViewId="0">
      <selection activeCell="F50" sqref="F50"/>
    </sheetView>
  </sheetViews>
  <sheetFormatPr defaultColWidth="11.44140625" defaultRowHeight="14.4"/>
  <cols>
    <col min="1" max="1" width="19.44140625" customWidth="1"/>
    <col min="2" max="2" width="16.109375" customWidth="1"/>
    <col min="3" max="3" width="14" customWidth="1"/>
    <col min="4" max="4" width="26.109375" customWidth="1"/>
    <col min="5" max="5" width="13.6640625" customWidth="1"/>
    <col min="6" max="6" width="13.33203125" customWidth="1"/>
  </cols>
  <sheetData>
    <row r="1" spans="1:6" s="42" customFormat="1" ht="21">
      <c r="A1" s="8" t="s">
        <v>107</v>
      </c>
    </row>
    <row r="2" spans="1:6" ht="15.6">
      <c r="A2" s="6"/>
      <c r="C2" t="s">
        <v>108</v>
      </c>
    </row>
    <row r="3" spans="1:6">
      <c r="A3" s="144" t="s">
        <v>14</v>
      </c>
      <c r="B3" s="144"/>
      <c r="C3" s="145"/>
      <c r="D3" s="144"/>
      <c r="E3" s="144"/>
      <c r="F3" s="75" t="s">
        <v>15</v>
      </c>
    </row>
    <row r="4" spans="1:6">
      <c r="A4" s="146"/>
      <c r="B4" s="146"/>
      <c r="C4" s="147"/>
      <c r="D4" s="146"/>
      <c r="E4" s="146"/>
    </row>
    <row r="5" spans="1:6">
      <c r="A5" s="148" t="s">
        <v>109</v>
      </c>
      <c r="B5" s="144"/>
      <c r="C5" s="147"/>
      <c r="D5" s="148" t="s">
        <v>28</v>
      </c>
      <c r="E5" s="144"/>
    </row>
    <row r="6" spans="1:6">
      <c r="A6" s="144" t="str">
        <f>'inv+fin. budget'!A6</f>
        <v>Inventory</v>
      </c>
      <c r="B6" s="149">
        <f>'inv+fin. budget'!B6</f>
        <v>3137.0495867768605</v>
      </c>
      <c r="C6" s="150"/>
      <c r="D6" s="144" t="str">
        <f>'inv+fin. budget'!D6</f>
        <v>Shareholders equity</v>
      </c>
      <c r="E6" s="149">
        <f>'inv+fin. budget'!E6</f>
        <v>55000</v>
      </c>
      <c r="F6" s="45"/>
    </row>
    <row r="7" spans="1:6">
      <c r="A7" s="144" t="str">
        <f>'inv+fin. budget'!A7</f>
        <v>Computers</v>
      </c>
      <c r="B7" s="149">
        <f>'inv+fin. budget'!B7</f>
        <v>3290.909090909091</v>
      </c>
      <c r="C7" s="150"/>
      <c r="D7" s="144"/>
      <c r="E7" s="149"/>
      <c r="F7" s="45"/>
    </row>
    <row r="8" spans="1:6">
      <c r="A8" s="144"/>
      <c r="B8" s="144"/>
      <c r="C8" s="150"/>
      <c r="D8" s="144"/>
      <c r="E8" s="149"/>
      <c r="F8" s="45"/>
    </row>
    <row r="9" spans="1:6">
      <c r="A9" s="144"/>
      <c r="B9" s="149"/>
      <c r="C9" s="150"/>
      <c r="D9" s="144"/>
      <c r="E9" s="149"/>
      <c r="F9" s="45"/>
    </row>
    <row r="10" spans="1:6">
      <c r="A10" s="144"/>
      <c r="B10" s="149"/>
      <c r="C10" s="150"/>
      <c r="D10" s="144"/>
      <c r="E10" s="149"/>
      <c r="F10" s="45"/>
    </row>
    <row r="11" spans="1:6">
      <c r="A11" s="148" t="s">
        <v>44</v>
      </c>
      <c r="B11" s="149"/>
      <c r="C11" s="150"/>
      <c r="D11" s="144"/>
      <c r="E11" s="149"/>
      <c r="F11" s="45"/>
    </row>
    <row r="12" spans="1:6">
      <c r="A12" s="144" t="s">
        <v>110</v>
      </c>
      <c r="B12" s="149">
        <f>'inv+fin. budget'!B13</f>
        <v>1625.4911570247932</v>
      </c>
      <c r="C12" s="150"/>
      <c r="D12" s="144"/>
      <c r="E12" s="149"/>
      <c r="F12" s="45"/>
    </row>
    <row r="13" spans="1:6">
      <c r="A13" s="144" t="s">
        <v>111</v>
      </c>
      <c r="B13" s="149">
        <f>'inv+fin. budget'!B15</f>
        <v>1144.3801652892562</v>
      </c>
      <c r="C13" s="150"/>
      <c r="D13" s="148" t="s">
        <v>54</v>
      </c>
      <c r="E13" s="149"/>
      <c r="F13" s="45"/>
    </row>
    <row r="14" spans="1:6">
      <c r="A14" s="144"/>
      <c r="B14" s="149"/>
      <c r="C14" s="150"/>
      <c r="D14" s="144" t="str">
        <f>'inv+fin. budget'!D16</f>
        <v>7.45% Bank loan 3 year</v>
      </c>
      <c r="E14" s="149">
        <f>'inv+fin. budget'!E16</f>
        <v>20000</v>
      </c>
      <c r="F14" s="45"/>
    </row>
    <row r="15" spans="1:6">
      <c r="A15" s="148" t="s">
        <v>60</v>
      </c>
      <c r="B15" s="149"/>
      <c r="C15" s="150"/>
      <c r="D15" s="144"/>
      <c r="E15" s="149"/>
      <c r="F15" s="45"/>
    </row>
    <row r="16" spans="1:6">
      <c r="A16" s="144" t="str">
        <f>'inv+fin. budget'!A18</f>
        <v>Bank</v>
      </c>
      <c r="B16" s="149">
        <f>'inv+fin. budget'!B18</f>
        <v>69784.17</v>
      </c>
      <c r="C16" s="150"/>
      <c r="D16" s="144"/>
      <c r="E16" s="149"/>
      <c r="F16" s="45"/>
    </row>
    <row r="17" spans="1:50">
      <c r="A17" s="144" t="str">
        <f>'inv+fin. budget'!A19</f>
        <v>Cash</v>
      </c>
      <c r="B17" s="149">
        <f>'inv+fin. budget'!B19</f>
        <v>0</v>
      </c>
      <c r="C17" s="150"/>
      <c r="D17" s="148" t="s">
        <v>66</v>
      </c>
      <c r="E17" s="149"/>
      <c r="F17" s="45"/>
    </row>
    <row r="18" spans="1:50">
      <c r="A18" s="144"/>
      <c r="B18" s="149"/>
      <c r="C18" s="150"/>
      <c r="D18" s="144" t="str">
        <f>'inv+fin. budget'!D20</f>
        <v>Accounts Payable (incl. VAT)</v>
      </c>
      <c r="E18" s="149">
        <f>'inv+fin. budget'!E20</f>
        <v>3982</v>
      </c>
      <c r="F18" s="45"/>
      <c r="I18" s="55"/>
    </row>
    <row r="19" spans="1:50">
      <c r="A19" s="144"/>
      <c r="B19" s="149"/>
      <c r="C19" s="150"/>
      <c r="D19" s="144"/>
      <c r="E19" s="149"/>
      <c r="F19" s="45"/>
      <c r="H19" s="55"/>
    </row>
    <row r="20" spans="1:50">
      <c r="A20" s="144"/>
      <c r="B20" s="149"/>
      <c r="C20" s="151"/>
      <c r="D20" s="144"/>
      <c r="E20" s="149"/>
    </row>
    <row r="21" spans="1:50">
      <c r="A21" s="152" t="s">
        <v>74</v>
      </c>
      <c r="B21" s="153">
        <f>'inv+fin. budget'!B23</f>
        <v>78982</v>
      </c>
      <c r="C21" s="154"/>
      <c r="D21" s="152" t="s">
        <v>74</v>
      </c>
      <c r="E21" s="153">
        <f>'inv+fin. budget'!E23</f>
        <v>78982</v>
      </c>
      <c r="F21" s="98"/>
    </row>
    <row r="22" spans="1:50">
      <c r="A22" s="144"/>
      <c r="B22" s="144"/>
      <c r="C22" s="144"/>
      <c r="D22" s="144"/>
      <c r="E22" s="144"/>
    </row>
    <row r="26" spans="1:50" ht="21">
      <c r="A26" s="8" t="s">
        <v>112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</row>
    <row r="27" spans="1:50" ht="15.6">
      <c r="A27" s="6"/>
      <c r="C27" t="s">
        <v>113</v>
      </c>
    </row>
    <row r="28" spans="1:50" s="42" customFormat="1">
      <c r="A28" t="s">
        <v>14</v>
      </c>
      <c r="B28"/>
      <c r="C28" s="48"/>
      <c r="D28"/>
      <c r="E28"/>
      <c r="F28" s="75" t="s">
        <v>15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>
      <c r="A29" s="51"/>
      <c r="B29" s="51"/>
      <c r="C29" s="76"/>
      <c r="D29" s="51"/>
      <c r="E29" s="51"/>
    </row>
    <row r="30" spans="1:50">
      <c r="A30" s="1" t="s">
        <v>27</v>
      </c>
      <c r="C30" s="76"/>
      <c r="D30" s="1" t="s">
        <v>28</v>
      </c>
    </row>
    <row r="31" spans="1:50">
      <c r="A31" t="str">
        <f>A6</f>
        <v>Inventory</v>
      </c>
      <c r="B31" s="43">
        <f>B6-'Cost price or Hourly rate'!G23</f>
        <v>2512.0853994490367</v>
      </c>
      <c r="C31" s="96"/>
      <c r="D31" t="s">
        <v>32</v>
      </c>
      <c r="E31" s="43">
        <f>E6</f>
        <v>55000</v>
      </c>
      <c r="F31" s="55"/>
    </row>
    <row r="32" spans="1:50">
      <c r="A32" t="s">
        <v>114</v>
      </c>
      <c r="B32" s="43">
        <f>'inv+fin. budget'!M32-('Cost price or Hourly rate'!F19+'Cost price or Hourly rate'!F20)</f>
        <v>2872.727272727273</v>
      </c>
      <c r="C32" s="99"/>
      <c r="D32" t="s">
        <v>115</v>
      </c>
      <c r="E32" s="43">
        <f>'P&amp;L'!B43</f>
        <v>1752.9997296824076</v>
      </c>
    </row>
    <row r="33" spans="1:10">
      <c r="B33" s="43"/>
      <c r="C33" s="76"/>
      <c r="D33" s="100"/>
      <c r="E33" s="50"/>
      <c r="F33" s="43">
        <f>E31+E32</f>
        <v>56752.999729682408</v>
      </c>
    </row>
    <row r="34" spans="1:10">
      <c r="B34" s="43"/>
      <c r="C34" s="76"/>
      <c r="E34" s="43"/>
    </row>
    <row r="35" spans="1:10">
      <c r="B35" s="43"/>
      <c r="C35" s="76"/>
      <c r="E35" s="43"/>
    </row>
    <row r="36" spans="1:10">
      <c r="A36" s="1" t="s">
        <v>44</v>
      </c>
      <c r="B36" s="43"/>
      <c r="C36" s="76"/>
      <c r="E36" s="43"/>
    </row>
    <row r="37" spans="1:10">
      <c r="A37" t="s">
        <v>116</v>
      </c>
      <c r="B37" s="43">
        <f>('P&amp;L'!M5+'P&amp;L'!M6+'P&amp;L'!M7)*Calculation!B2</f>
        <v>23110.927839266489</v>
      </c>
      <c r="C37" s="99"/>
    </row>
    <row r="38" spans="1:10">
      <c r="A38" t="s">
        <v>117</v>
      </c>
      <c r="B38" s="43"/>
      <c r="C38" s="99"/>
      <c r="D38" s="1" t="s">
        <v>54</v>
      </c>
      <c r="E38" s="43"/>
    </row>
    <row r="39" spans="1:10">
      <c r="A39" t="s">
        <v>118</v>
      </c>
      <c r="B39" s="43">
        <f>B13-'Cost price or Hourly rate'!F21</f>
        <v>0</v>
      </c>
      <c r="C39" s="76"/>
      <c r="D39" t="s">
        <v>119</v>
      </c>
      <c r="E39" s="43">
        <f>'inv+fin. budget'!E16-'inv+fin. budget'!V50</f>
        <v>13333.333333333332</v>
      </c>
      <c r="F39" s="55"/>
    </row>
    <row r="40" spans="1:10">
      <c r="B40" s="43"/>
      <c r="C40" s="76"/>
      <c r="E40" s="43"/>
    </row>
    <row r="41" spans="1:10">
      <c r="A41" s="1" t="s">
        <v>60</v>
      </c>
      <c r="B41" s="43"/>
      <c r="C41" s="76"/>
      <c r="E41" s="43"/>
    </row>
    <row r="42" spans="1:10">
      <c r="A42" t="s">
        <v>62</v>
      </c>
      <c r="B42" s="43">
        <f>'Cash Flow'!E27</f>
        <v>45782.691580933766</v>
      </c>
      <c r="C42" s="99"/>
      <c r="D42" s="1" t="s">
        <v>66</v>
      </c>
      <c r="E42" s="43"/>
    </row>
    <row r="43" spans="1:10">
      <c r="A43" t="s">
        <v>65</v>
      </c>
      <c r="B43" s="43"/>
      <c r="C43" s="76"/>
      <c r="D43" t="s">
        <v>120</v>
      </c>
      <c r="E43" s="43">
        <f>'P&amp;L'!B41</f>
        <v>584.33324322746921</v>
      </c>
      <c r="F43" s="55"/>
    </row>
    <row r="44" spans="1:10">
      <c r="B44" s="43"/>
      <c r="C44" s="76"/>
      <c r="E44" s="43"/>
      <c r="F44" s="55"/>
      <c r="I44" s="55"/>
    </row>
    <row r="45" spans="1:10">
      <c r="B45" s="43"/>
      <c r="C45" s="97"/>
      <c r="D45" t="s">
        <v>121</v>
      </c>
      <c r="E45" s="43">
        <f>'Cash Flow'!E34</f>
        <v>3607.7657861334192</v>
      </c>
      <c r="F45" s="55"/>
      <c r="H45" s="55"/>
    </row>
    <row r="46" spans="1:10">
      <c r="A46" s="4" t="s">
        <v>74</v>
      </c>
      <c r="B46" s="50">
        <f>SUM(B31:B43)</f>
        <v>74278.432092376563</v>
      </c>
      <c r="C46" s="98"/>
      <c r="D46" s="4" t="s">
        <v>74</v>
      </c>
      <c r="E46" s="50">
        <f>F33+E39+E43+E45</f>
        <v>74278.432092376635</v>
      </c>
      <c r="F46" s="98"/>
    </row>
    <row r="48" spans="1:10">
      <c r="D48" s="43"/>
      <c r="J48" s="101"/>
    </row>
    <row r="49" spans="3:3">
      <c r="C49" s="43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F979-C05A-0347-9F9E-645723325431}">
  <dimension ref="A1:O83"/>
  <sheetViews>
    <sheetView topLeftCell="A18" zoomScale="76" zoomScaleNormal="70" workbookViewId="0">
      <selection activeCell="O63" sqref="O63"/>
    </sheetView>
  </sheetViews>
  <sheetFormatPr defaultColWidth="11.44140625" defaultRowHeight="14.4"/>
  <cols>
    <col min="1" max="1" width="45.77734375" customWidth="1"/>
    <col min="2" max="2" width="31.109375" customWidth="1"/>
    <col min="3" max="3" width="23.77734375" customWidth="1"/>
    <col min="4" max="4" width="22.109375" customWidth="1"/>
    <col min="5" max="5" width="27.44140625" customWidth="1"/>
    <col min="6" max="6" width="41.6640625" customWidth="1"/>
    <col min="7" max="7" width="28.109375" customWidth="1"/>
    <col min="8" max="8" width="24.6640625" customWidth="1"/>
    <col min="9" max="9" width="21.44140625" customWidth="1"/>
    <col min="10" max="10" width="22.77734375" customWidth="1"/>
    <col min="11" max="11" width="19.109375" customWidth="1"/>
  </cols>
  <sheetData>
    <row r="1" spans="1:8" ht="21">
      <c r="A1" s="3" t="s">
        <v>122</v>
      </c>
    </row>
    <row r="2" spans="1:8" ht="15.6">
      <c r="A2" s="15" t="s">
        <v>123</v>
      </c>
      <c r="B2" s="42" t="s">
        <v>124</v>
      </c>
      <c r="C2" s="42" t="s">
        <v>125</v>
      </c>
      <c r="D2" s="42" t="s">
        <v>126</v>
      </c>
      <c r="E2" s="42" t="s">
        <v>127</v>
      </c>
      <c r="F2" s="42" t="s">
        <v>128</v>
      </c>
      <c r="G2" s="42" t="s">
        <v>12</v>
      </c>
    </row>
    <row r="3" spans="1:8">
      <c r="A3" t="str">
        <f>'inv+fin. budget'!H4</f>
        <v>Desks</v>
      </c>
      <c r="B3" s="43">
        <f>'inv+fin. budget'!M4</f>
        <v>295.04132231404958</v>
      </c>
      <c r="C3" s="44">
        <f>30*'inv+fin. budget'!K4</f>
        <v>90</v>
      </c>
      <c r="D3" s="43">
        <f t="shared" ref="D3:D20" si="0">B3-C3</f>
        <v>205.04132231404958</v>
      </c>
      <c r="E3" s="143">
        <v>4</v>
      </c>
      <c r="F3" s="43">
        <f t="shared" ref="F3:F21" si="1">D3/E3</f>
        <v>51.260330578512395</v>
      </c>
      <c r="G3" s="45"/>
      <c r="H3" s="45"/>
    </row>
    <row r="4" spans="1:8">
      <c r="A4" t="str">
        <f>'inv+fin. budget'!H5</f>
        <v>Chairs</v>
      </c>
      <c r="B4" s="43">
        <f>'inv+fin. budget'!M5</f>
        <v>533.05785123966939</v>
      </c>
      <c r="C4" s="44">
        <f>45*'inv+fin. budget'!K5</f>
        <v>225</v>
      </c>
      <c r="D4" s="43">
        <f t="shared" si="0"/>
        <v>308.05785123966939</v>
      </c>
      <c r="E4" s="143">
        <v>7</v>
      </c>
      <c r="F4" s="43">
        <f t="shared" si="1"/>
        <v>44.008264462809912</v>
      </c>
      <c r="G4" s="45"/>
    </row>
    <row r="5" spans="1:8">
      <c r="A5" t="str">
        <f>'inv+fin. budget'!H6</f>
        <v>Coffee machine</v>
      </c>
      <c r="B5" s="43">
        <f>'inv+fin. budget'!M6</f>
        <v>478.51239669421489</v>
      </c>
      <c r="C5" s="44">
        <f>100*'inv+fin. budget'!K6</f>
        <v>100</v>
      </c>
      <c r="D5" s="43">
        <f t="shared" si="0"/>
        <v>378.51239669421489</v>
      </c>
      <c r="E5" s="143">
        <v>2</v>
      </c>
      <c r="F5" s="43">
        <f t="shared" si="1"/>
        <v>189.25619834710744</v>
      </c>
      <c r="G5" s="45"/>
    </row>
    <row r="6" spans="1:8">
      <c r="A6" t="str">
        <f>'inv+fin. budget'!H7</f>
        <v>Philips screens</v>
      </c>
      <c r="B6" s="43">
        <f>'inv+fin. budget'!M7</f>
        <v>139.6694214876033</v>
      </c>
      <c r="C6" s="44">
        <f>50*'inv+fin. budget'!K7</f>
        <v>50</v>
      </c>
      <c r="D6" s="43">
        <f t="shared" si="0"/>
        <v>89.669421487603302</v>
      </c>
      <c r="E6" s="143">
        <v>3</v>
      </c>
      <c r="F6" s="43">
        <f t="shared" si="1"/>
        <v>29.889807162534435</v>
      </c>
      <c r="G6" s="45"/>
    </row>
    <row r="7" spans="1:8">
      <c r="A7" t="str">
        <f>'inv+fin. budget'!H8</f>
        <v>Couch</v>
      </c>
      <c r="B7" s="43">
        <f>'inv+fin. budget'!M8</f>
        <v>205.78512396694217</v>
      </c>
      <c r="C7" s="44">
        <f>50*'inv+fin. budget'!K8</f>
        <v>50</v>
      </c>
      <c r="D7" s="43">
        <f t="shared" si="0"/>
        <v>155.78512396694217</v>
      </c>
      <c r="E7" s="143">
        <v>10</v>
      </c>
      <c r="F7" s="43">
        <f t="shared" si="1"/>
        <v>15.578512396694217</v>
      </c>
      <c r="G7" s="45"/>
    </row>
    <row r="8" spans="1:8">
      <c r="A8" t="str">
        <f>'inv+fin. budget'!H9</f>
        <v>Camera</v>
      </c>
      <c r="B8" s="43">
        <f>'inv+fin. budget'!M9</f>
        <v>561.98347107438019</v>
      </c>
      <c r="C8" s="44">
        <f>150*'inv+fin. budget'!K9</f>
        <v>150</v>
      </c>
      <c r="D8" s="43">
        <f t="shared" si="0"/>
        <v>411.98347107438019</v>
      </c>
      <c r="E8" s="143">
        <v>3</v>
      </c>
      <c r="F8" s="43">
        <f t="shared" si="1"/>
        <v>137.32782369146005</v>
      </c>
      <c r="G8" s="45"/>
    </row>
    <row r="9" spans="1:8">
      <c r="A9" t="str">
        <f>'inv+fin. budget'!H10</f>
        <v>Camera lights</v>
      </c>
      <c r="B9" s="43">
        <f>'inv+fin. budget'!M10</f>
        <v>70.239669421487605</v>
      </c>
      <c r="C9" s="44">
        <f>30*'inv+fin. budget'!K10</f>
        <v>30</v>
      </c>
      <c r="D9" s="43">
        <f t="shared" si="0"/>
        <v>40.239669421487605</v>
      </c>
      <c r="E9" s="143">
        <v>2</v>
      </c>
      <c r="F9" s="43">
        <f t="shared" si="1"/>
        <v>20.119834710743802</v>
      </c>
      <c r="G9" s="45"/>
    </row>
    <row r="10" spans="1:8">
      <c r="A10" t="str">
        <f>'inv+fin. budget'!H11</f>
        <v>Cutlery</v>
      </c>
      <c r="B10" s="43">
        <f>'inv+fin. budget'!M11</f>
        <v>4.123966942148761</v>
      </c>
      <c r="C10" s="44">
        <f>1*'inv+fin. budget'!K11</f>
        <v>1</v>
      </c>
      <c r="D10" s="43">
        <f t="shared" si="0"/>
        <v>3.123966942148761</v>
      </c>
      <c r="E10" s="143">
        <v>4</v>
      </c>
      <c r="F10" s="43">
        <f t="shared" si="1"/>
        <v>0.78099173553719026</v>
      </c>
      <c r="G10" s="45"/>
    </row>
    <row r="11" spans="1:8">
      <c r="A11" t="str">
        <f>'inv+fin. budget'!H13</f>
        <v>Cups</v>
      </c>
      <c r="B11" s="43">
        <f>'inv+fin. budget'!M13</f>
        <v>16.487603305785125</v>
      </c>
      <c r="C11" s="44">
        <f>1*'inv+fin. budget'!K13</f>
        <v>5</v>
      </c>
      <c r="D11" s="43">
        <f t="shared" si="0"/>
        <v>11.487603305785125</v>
      </c>
      <c r="E11" s="143">
        <v>2</v>
      </c>
      <c r="F11" s="43">
        <f t="shared" si="1"/>
        <v>5.7438016528925626</v>
      </c>
      <c r="G11" s="45"/>
    </row>
    <row r="12" spans="1:8">
      <c r="A12" t="str">
        <f>'inv+fin. budget'!H14</f>
        <v>Plates Set</v>
      </c>
      <c r="B12" s="43">
        <f>'inv+fin. budget'!M14</f>
        <v>24.785123966942148</v>
      </c>
      <c r="C12" s="44">
        <f>5*'inv+fin. budget'!K14</f>
        <v>5</v>
      </c>
      <c r="D12" s="43">
        <f t="shared" si="0"/>
        <v>19.785123966942148</v>
      </c>
      <c r="E12" s="143">
        <v>2</v>
      </c>
      <c r="F12" s="43">
        <f t="shared" si="1"/>
        <v>9.8925619834710741</v>
      </c>
      <c r="G12" s="45"/>
    </row>
    <row r="13" spans="1:8">
      <c r="A13" t="str">
        <f>'inv+fin. budget'!H15</f>
        <v xml:space="preserve">Printer </v>
      </c>
      <c r="B13" s="43">
        <f>'inv+fin. budget'!M15</f>
        <v>445.4545454545455</v>
      </c>
      <c r="C13" s="44">
        <f>200*'inv+fin. budget'!K15</f>
        <v>200</v>
      </c>
      <c r="D13" s="43">
        <f t="shared" si="0"/>
        <v>245.4545454545455</v>
      </c>
      <c r="E13" s="143">
        <v>5</v>
      </c>
      <c r="F13" s="43">
        <f t="shared" si="1"/>
        <v>49.090909090909101</v>
      </c>
      <c r="G13" s="45"/>
    </row>
    <row r="14" spans="1:8">
      <c r="A14" t="str">
        <f>'inv+fin. budget'!H16</f>
        <v>Office phone</v>
      </c>
      <c r="B14" s="43">
        <f>'inv+fin. budget'!M16</f>
        <v>49.578512396694215</v>
      </c>
      <c r="C14" s="44">
        <v>10</v>
      </c>
      <c r="D14" s="43">
        <f t="shared" si="0"/>
        <v>39.578512396694215</v>
      </c>
      <c r="E14" s="143">
        <v>3</v>
      </c>
      <c r="F14" s="43">
        <f t="shared" si="1"/>
        <v>13.192837465564738</v>
      </c>
      <c r="G14" s="45"/>
    </row>
    <row r="15" spans="1:8">
      <c r="A15" t="str">
        <f>'inv+fin. budget'!H18</f>
        <v>Desk lights</v>
      </c>
      <c r="B15" s="43">
        <f>'inv+fin. budget'!M18</f>
        <v>24.768595041322317</v>
      </c>
      <c r="C15" s="44">
        <f>2*'inv+fin. budget'!K18</f>
        <v>6</v>
      </c>
      <c r="D15" s="43">
        <f t="shared" si="0"/>
        <v>18.768595041322317</v>
      </c>
      <c r="E15" s="143">
        <v>3</v>
      </c>
      <c r="F15" s="43">
        <f t="shared" si="1"/>
        <v>6.2561983471074392</v>
      </c>
      <c r="G15" s="45"/>
    </row>
    <row r="16" spans="1:8">
      <c r="A16" t="str">
        <f>'inv+fin. budget'!H19</f>
        <v>Plants</v>
      </c>
      <c r="B16" s="43">
        <f>'inv+fin. budget'!M19</f>
        <v>16.487603305785125</v>
      </c>
      <c r="C16" s="44">
        <f>1*'inv+fin. budget'!K19</f>
        <v>5</v>
      </c>
      <c r="D16" s="43">
        <f t="shared" si="0"/>
        <v>11.487603305785125</v>
      </c>
      <c r="E16" s="143">
        <v>5</v>
      </c>
      <c r="F16" s="43">
        <f t="shared" si="1"/>
        <v>2.2975206611570251</v>
      </c>
      <c r="G16" s="45"/>
    </row>
    <row r="17" spans="1:8">
      <c r="A17" t="str">
        <f>'inv+fin. budget'!H20</f>
        <v>Closet</v>
      </c>
      <c r="B17" s="43">
        <f>'inv+fin. budget'!M20</f>
        <v>147.93388429752068</v>
      </c>
      <c r="C17" s="44">
        <f>50*'inv+fin. budget'!K20</f>
        <v>50</v>
      </c>
      <c r="D17" s="43">
        <f t="shared" si="0"/>
        <v>97.933884297520677</v>
      </c>
      <c r="E17" s="143">
        <v>4</v>
      </c>
      <c r="F17" s="43">
        <f t="shared" si="1"/>
        <v>24.483471074380169</v>
      </c>
      <c r="G17" s="45"/>
    </row>
    <row r="18" spans="1:8">
      <c r="A18" t="str">
        <f>'inv+fin. budget'!H21</f>
        <v>Storage closet</v>
      </c>
      <c r="B18" s="43">
        <f>'inv+fin. budget'!M21</f>
        <v>123.14049586776859</v>
      </c>
      <c r="C18" s="44">
        <f>20*'inv+fin. budget'!K21</f>
        <v>20</v>
      </c>
      <c r="D18" s="43">
        <f t="shared" si="0"/>
        <v>103.14049586776859</v>
      </c>
      <c r="E18" s="143">
        <v>4</v>
      </c>
      <c r="F18" s="43">
        <f t="shared" si="1"/>
        <v>25.785123966942148</v>
      </c>
      <c r="G18" s="45"/>
    </row>
    <row r="19" spans="1:8">
      <c r="A19" t="str">
        <f>'inv+fin. budget'!H27</f>
        <v>Macbook Pro 13-inch</v>
      </c>
      <c r="B19" s="43">
        <f>'inv+fin. budget'!M27</f>
        <v>1528.0991735537191</v>
      </c>
      <c r="C19" s="44">
        <f>600*'inv+fin. budget'!K27</f>
        <v>600</v>
      </c>
      <c r="D19" s="43">
        <f t="shared" si="0"/>
        <v>928.09917355371908</v>
      </c>
      <c r="E19" s="143">
        <v>5</v>
      </c>
      <c r="F19" s="43">
        <f t="shared" si="1"/>
        <v>185.61983471074382</v>
      </c>
      <c r="G19" s="45"/>
    </row>
    <row r="20" spans="1:8">
      <c r="A20" t="str">
        <f>'inv+fin. budget'!H28</f>
        <v>iMac 24‑inch</v>
      </c>
      <c r="B20" s="43">
        <f>'inv+fin. budget'!M28</f>
        <v>1762.8099173553719</v>
      </c>
      <c r="C20" s="44">
        <f>600*'inv+fin. budget'!K28</f>
        <v>600</v>
      </c>
      <c r="D20" s="43">
        <f t="shared" si="0"/>
        <v>1162.8099173553719</v>
      </c>
      <c r="E20" s="143">
        <v>5</v>
      </c>
      <c r="F20" s="43">
        <f t="shared" si="1"/>
        <v>232.56198347107437</v>
      </c>
      <c r="G20" s="45"/>
    </row>
    <row r="21" spans="1:8">
      <c r="A21" t="str">
        <f>'inv+fin. budget'!A15</f>
        <v>Startup Costs</v>
      </c>
      <c r="B21" s="43">
        <f>'inv+fin. budget'!M45</f>
        <v>1144.3801652892562</v>
      </c>
      <c r="C21" s="44">
        <v>0</v>
      </c>
      <c r="D21" s="44">
        <f>B21-C21</f>
        <v>1144.3801652892562</v>
      </c>
      <c r="E21" s="143">
        <v>1</v>
      </c>
      <c r="F21" s="43">
        <f t="shared" si="1"/>
        <v>1144.3801652892562</v>
      </c>
      <c r="G21" s="46"/>
    </row>
    <row r="22" spans="1:8">
      <c r="B22" s="47"/>
      <c r="C22" s="47"/>
      <c r="D22" s="47"/>
      <c r="E22" s="48"/>
      <c r="F22" s="45"/>
      <c r="G22" s="45" t="s">
        <v>129</v>
      </c>
    </row>
    <row r="23" spans="1:8">
      <c r="A23" s="4" t="s">
        <v>74</v>
      </c>
      <c r="B23" s="45"/>
      <c r="C23" s="7"/>
      <c r="D23" s="7"/>
      <c r="E23" s="7"/>
      <c r="F23" s="49">
        <f>SUM(F3:F21)</f>
        <v>2187.5261707988984</v>
      </c>
      <c r="G23" s="50">
        <f>SUM(F3:F18)</f>
        <v>624.96418732782377</v>
      </c>
      <c r="H23" s="51"/>
    </row>
    <row r="25" spans="1:8" ht="15.6">
      <c r="A25" s="15" t="s">
        <v>130</v>
      </c>
      <c r="B25" s="42" t="s">
        <v>131</v>
      </c>
      <c r="C25" s="42" t="s">
        <v>132</v>
      </c>
      <c r="D25" s="42" t="s">
        <v>133</v>
      </c>
      <c r="E25" s="42" t="s">
        <v>134</v>
      </c>
      <c r="F25" s="42" t="s">
        <v>135</v>
      </c>
      <c r="G25" s="42"/>
      <c r="H25" s="42"/>
    </row>
    <row r="26" spans="1:8">
      <c r="A26" t="s">
        <v>136</v>
      </c>
      <c r="B26" s="52">
        <v>700</v>
      </c>
      <c r="C26" s="52" t="s">
        <v>137</v>
      </c>
      <c r="D26" s="52">
        <f>B26*12</f>
        <v>8400</v>
      </c>
      <c r="E26" s="53" t="s">
        <v>138</v>
      </c>
    </row>
    <row r="27" spans="1:8">
      <c r="A27" t="s">
        <v>139</v>
      </c>
      <c r="B27" s="52">
        <v>73.489999999999995</v>
      </c>
      <c r="C27" s="52" t="s">
        <v>137</v>
      </c>
      <c r="D27" s="52">
        <f>B27*12</f>
        <v>881.87999999999988</v>
      </c>
      <c r="E27" s="54" t="s">
        <v>140</v>
      </c>
    </row>
    <row r="28" spans="1:8">
      <c r="A28" t="s">
        <v>141</v>
      </c>
      <c r="B28" s="52">
        <v>13.99</v>
      </c>
      <c r="C28" s="52" t="s">
        <v>137</v>
      </c>
      <c r="D28" s="52">
        <f>B28*12</f>
        <v>167.88</v>
      </c>
      <c r="E28" s="54" t="s">
        <v>142</v>
      </c>
    </row>
    <row r="29" spans="1:8">
      <c r="A29" t="s">
        <v>143</v>
      </c>
      <c r="B29" s="52">
        <v>10</v>
      </c>
      <c r="C29" s="52" t="s">
        <v>137</v>
      </c>
      <c r="D29" s="52">
        <f>B29*12</f>
        <v>120</v>
      </c>
      <c r="E29" s="54" t="s">
        <v>144</v>
      </c>
    </row>
    <row r="30" spans="1:8">
      <c r="A30" t="s">
        <v>145</v>
      </c>
      <c r="B30" s="52">
        <v>150</v>
      </c>
      <c r="C30" s="52" t="s">
        <v>137</v>
      </c>
      <c r="D30" s="52">
        <f>B30*12</f>
        <v>1800</v>
      </c>
      <c r="E30" s="54" t="s">
        <v>146</v>
      </c>
    </row>
    <row r="31" spans="1:8">
      <c r="A31" t="s">
        <v>105</v>
      </c>
      <c r="B31" s="52">
        <f>'inv+fin. budget'!I53</f>
        <v>1262.3611111111115</v>
      </c>
      <c r="C31" s="52" t="s">
        <v>147</v>
      </c>
      <c r="D31" s="52">
        <f>B31</f>
        <v>1262.3611111111115</v>
      </c>
    </row>
    <row r="32" spans="1:8">
      <c r="B32" s="55"/>
      <c r="D32" s="55"/>
    </row>
    <row r="33" spans="1:8">
      <c r="B33" s="45"/>
      <c r="D33" s="56"/>
    </row>
    <row r="34" spans="1:8">
      <c r="D34" s="55"/>
    </row>
    <row r="35" spans="1:8" ht="16.2" customHeight="1">
      <c r="D35" s="45"/>
      <c r="E35" s="48"/>
      <c r="F35" s="47"/>
      <c r="G35" s="45"/>
    </row>
    <row r="36" spans="1:8">
      <c r="A36" s="4" t="s">
        <v>74</v>
      </c>
      <c r="B36" s="50">
        <f>SUM(B26:B31)</f>
        <v>2209.8411111111118</v>
      </c>
      <c r="C36" s="51"/>
      <c r="D36" s="49">
        <f>SUM(D26:D31)</f>
        <v>12632.12111111111</v>
      </c>
      <c r="E36" s="7"/>
      <c r="G36" s="57"/>
      <c r="H36" s="51"/>
    </row>
    <row r="37" spans="1:8" ht="15.6">
      <c r="A37" s="15" t="s">
        <v>148</v>
      </c>
      <c r="B37" s="42" t="s">
        <v>149</v>
      </c>
      <c r="C37" s="42" t="s">
        <v>150</v>
      </c>
      <c r="D37" s="42" t="s">
        <v>151</v>
      </c>
      <c r="E37" s="42" t="s">
        <v>152</v>
      </c>
      <c r="F37" s="42" t="s">
        <v>153</v>
      </c>
      <c r="G37" s="42" t="s">
        <v>154</v>
      </c>
    </row>
    <row r="38" spans="1:8">
      <c r="A38" t="s">
        <v>155</v>
      </c>
      <c r="B38" s="58">
        <v>3500</v>
      </c>
      <c r="C38" s="58">
        <f>B38/Calculation!$B$11*'Cost price or Hourly rate'!D38</f>
        <v>3500</v>
      </c>
      <c r="D38" s="58">
        <v>40</v>
      </c>
      <c r="E38" s="58">
        <f>C38*Calculation!B7</f>
        <v>280</v>
      </c>
      <c r="F38" s="58">
        <f>C38*Calculation!B8</f>
        <v>560</v>
      </c>
      <c r="G38" s="59">
        <f>C38*12</f>
        <v>42000</v>
      </c>
      <c r="H38" s="60"/>
    </row>
    <row r="39" spans="1:8">
      <c r="A39" s="61" t="s">
        <v>156</v>
      </c>
      <c r="B39" s="58">
        <v>400</v>
      </c>
      <c r="C39" s="58">
        <f>B39/Calculation!$B$11*'Cost price or Hourly rate'!D39</f>
        <v>300</v>
      </c>
      <c r="D39" s="62">
        <v>30</v>
      </c>
      <c r="E39" s="58">
        <f>C39*Calculation!B7</f>
        <v>24</v>
      </c>
      <c r="F39" s="58">
        <f>C39*Calculation!B8</f>
        <v>48</v>
      </c>
      <c r="G39" s="59">
        <f>C39*12</f>
        <v>3600</v>
      </c>
      <c r="H39" s="60"/>
    </row>
    <row r="40" spans="1:8">
      <c r="A40" s="61"/>
      <c r="C40" s="52"/>
      <c r="D40" s="63"/>
      <c r="F40" s="60"/>
      <c r="G40" s="60"/>
      <c r="H40" s="60"/>
    </row>
    <row r="41" spans="1:8">
      <c r="A41" s="61"/>
      <c r="C41" s="52"/>
      <c r="D41" s="63"/>
      <c r="E41" s="55"/>
      <c r="F41" s="52"/>
      <c r="G41" s="52"/>
    </row>
    <row r="42" spans="1:8">
      <c r="A42" s="61"/>
      <c r="C42" s="52"/>
      <c r="D42" s="63"/>
      <c r="E42" s="55"/>
      <c r="F42" s="52"/>
      <c r="G42" s="52"/>
    </row>
    <row r="43" spans="1:8" ht="16.5" customHeight="1">
      <c r="A43" s="61"/>
      <c r="B43" s="52"/>
      <c r="C43" s="63"/>
      <c r="D43" s="64"/>
      <c r="E43" s="52"/>
      <c r="F43" s="52"/>
      <c r="G43" s="52"/>
    </row>
    <row r="44" spans="1:8">
      <c r="A44" s="61"/>
      <c r="B44" s="52"/>
      <c r="C44" s="63"/>
      <c r="D44" s="64"/>
      <c r="E44" s="52"/>
      <c r="F44" s="52"/>
      <c r="G44" s="52"/>
    </row>
    <row r="45" spans="1:8">
      <c r="A45" s="4" t="s">
        <v>75</v>
      </c>
      <c r="B45" s="65">
        <f>SUM(B38:B40)</f>
        <v>3900</v>
      </c>
      <c r="C45" s="65">
        <f>SUM(C38:C40)</f>
        <v>3800</v>
      </c>
      <c r="D45" s="65"/>
      <c r="E45" s="65">
        <f>SUM(E38:E40)</f>
        <v>304</v>
      </c>
      <c r="F45" s="66">
        <f>SUM(F38:F40)</f>
        <v>608</v>
      </c>
      <c r="G45" s="159">
        <f>SUM(G38:G39)</f>
        <v>45600</v>
      </c>
      <c r="H45" s="52"/>
    </row>
    <row r="46" spans="1:8">
      <c r="B46" s="55"/>
      <c r="D46" s="55"/>
      <c r="H46" s="52"/>
    </row>
    <row r="47" spans="1:8">
      <c r="B47" s="55"/>
      <c r="D47" s="55"/>
      <c r="H47" s="52"/>
    </row>
    <row r="48" spans="1:8" ht="18">
      <c r="A48" s="16" t="s">
        <v>157</v>
      </c>
      <c r="B48" s="67"/>
      <c r="C48" s="42"/>
      <c r="D48" s="67"/>
      <c r="E48" s="42"/>
      <c r="F48" s="42"/>
      <c r="H48" s="52"/>
    </row>
    <row r="49" spans="1:12">
      <c r="B49" s="64"/>
      <c r="C49" s="64"/>
      <c r="D49" s="55"/>
    </row>
    <row r="50" spans="1:12">
      <c r="A50" t="s">
        <v>158</v>
      </c>
      <c r="B50" s="52">
        <f>F23</f>
        <v>2187.5261707988984</v>
      </c>
      <c r="C50" s="64"/>
      <c r="D50" s="55"/>
    </row>
    <row r="51" spans="1:12">
      <c r="A51" t="s">
        <v>159</v>
      </c>
      <c r="B51" s="52">
        <f>D36</f>
        <v>12632.12111111111</v>
      </c>
      <c r="C51" s="64"/>
      <c r="D51" s="55"/>
    </row>
    <row r="52" spans="1:12">
      <c r="A52" t="s">
        <v>160</v>
      </c>
      <c r="B52" s="52">
        <f>G45</f>
        <v>45600</v>
      </c>
      <c r="C52" s="64"/>
      <c r="D52" s="55"/>
    </row>
    <row r="53" spans="1:12">
      <c r="B53" s="64"/>
      <c r="C53" s="64"/>
      <c r="D53" s="55"/>
    </row>
    <row r="54" spans="1:12">
      <c r="B54" s="64"/>
      <c r="C54" s="64"/>
      <c r="D54" s="55"/>
    </row>
    <row r="55" spans="1:12">
      <c r="A55" s="51" t="s">
        <v>74</v>
      </c>
      <c r="B55" s="68">
        <f>SUM(B50:B52)</f>
        <v>60419.647281910009</v>
      </c>
      <c r="C55" s="51"/>
      <c r="D55" s="69"/>
      <c r="E55" s="51"/>
      <c r="F55" s="51"/>
    </row>
    <row r="59" spans="1:12">
      <c r="K59" t="s">
        <v>161</v>
      </c>
    </row>
    <row r="60" spans="1:12" ht="15.6">
      <c r="A60" s="15" t="s">
        <v>162</v>
      </c>
      <c r="B60" s="42" t="s">
        <v>163</v>
      </c>
      <c r="C60" s="42" t="s">
        <v>164</v>
      </c>
      <c r="D60" s="42" t="s">
        <v>74</v>
      </c>
      <c r="E60" s="42" t="s">
        <v>165</v>
      </c>
      <c r="F60" s="42" t="s">
        <v>166</v>
      </c>
      <c r="G60" s="42" t="s">
        <v>167</v>
      </c>
      <c r="H60" s="42" t="s">
        <v>168</v>
      </c>
      <c r="I60" s="42" t="s">
        <v>169</v>
      </c>
      <c r="J60" s="42" t="s">
        <v>170</v>
      </c>
      <c r="K60" s="42" t="s">
        <v>171</v>
      </c>
      <c r="L60" s="42" t="s">
        <v>172</v>
      </c>
    </row>
    <row r="61" spans="1:12">
      <c r="A61" t="s">
        <v>173</v>
      </c>
      <c r="B61">
        <v>1</v>
      </c>
      <c r="C61" s="52">
        <v>30</v>
      </c>
      <c r="D61" s="52">
        <f>B61*C61</f>
        <v>30</v>
      </c>
      <c r="E61" s="70">
        <v>0.35</v>
      </c>
      <c r="F61">
        <f>N80</f>
        <v>800</v>
      </c>
      <c r="G61" s="52">
        <f>E61*B55</f>
        <v>21146.876548668501</v>
      </c>
      <c r="H61" s="52">
        <f>G61/F61</f>
        <v>26.433595685835627</v>
      </c>
      <c r="I61" s="52">
        <f>H61+D61</f>
        <v>56.433595685835627</v>
      </c>
      <c r="J61" s="70">
        <v>0.4</v>
      </c>
      <c r="K61" s="52">
        <f>I61*1.4</f>
        <v>79.007033960169878</v>
      </c>
      <c r="L61" s="58">
        <f>(B55*E61)/(K61-C61)</f>
        <v>431.50696624193733</v>
      </c>
    </row>
    <row r="62" spans="1:12">
      <c r="A62" t="s">
        <v>174</v>
      </c>
      <c r="B62">
        <v>1</v>
      </c>
      <c r="C62" s="52">
        <v>50</v>
      </c>
      <c r="D62" s="52">
        <f>B62*C62</f>
        <v>50</v>
      </c>
      <c r="E62" s="70">
        <v>0.2</v>
      </c>
      <c r="F62">
        <f>N81</f>
        <v>1200</v>
      </c>
      <c r="G62" s="52">
        <f>E62*B55</f>
        <v>12083.929456382002</v>
      </c>
      <c r="H62" s="52">
        <f>G62/F62</f>
        <v>10.069941213651669</v>
      </c>
      <c r="I62" s="52">
        <f>H62+D62</f>
        <v>60.069941213651667</v>
      </c>
      <c r="J62" s="70">
        <v>0.4</v>
      </c>
      <c r="K62" s="52">
        <f>I62*1.4</f>
        <v>84.09791769911233</v>
      </c>
      <c r="L62" s="58">
        <f>(B55*E62)/(K62-C62)</f>
        <v>354.3890733449856</v>
      </c>
    </row>
    <row r="63" spans="1:12">
      <c r="A63" t="s">
        <v>175</v>
      </c>
      <c r="B63">
        <v>1</v>
      </c>
      <c r="C63" s="52">
        <v>50</v>
      </c>
      <c r="D63" s="52">
        <f>B63*C63</f>
        <v>50</v>
      </c>
      <c r="E63" s="70">
        <v>0.45</v>
      </c>
      <c r="F63">
        <f>N82</f>
        <v>2000</v>
      </c>
      <c r="G63" s="52">
        <f>B55*E63</f>
        <v>27188.841276859504</v>
      </c>
      <c r="H63" s="52">
        <f>G63/F63</f>
        <v>13.594420638429753</v>
      </c>
      <c r="I63" s="52">
        <f>H63+D63</f>
        <v>63.594420638429753</v>
      </c>
      <c r="J63" s="70">
        <v>0.4</v>
      </c>
      <c r="K63" s="52">
        <f>I63*1.4</f>
        <v>89.032188893801646</v>
      </c>
      <c r="L63" s="58">
        <f>(B55*E63)/(K63-C63)</f>
        <v>696.5748539195331</v>
      </c>
    </row>
    <row r="65" spans="1:14">
      <c r="B65" s="158"/>
    </row>
    <row r="66" spans="1:14">
      <c r="B66" s="158"/>
    </row>
    <row r="67" spans="1:14">
      <c r="B67" s="158"/>
      <c r="H67" t="s">
        <v>176</v>
      </c>
    </row>
    <row r="68" spans="1:14">
      <c r="B68" s="158"/>
    </row>
    <row r="71" spans="1:14" ht="15.6">
      <c r="A71" s="27" t="s">
        <v>177</v>
      </c>
    </row>
    <row r="72" spans="1:14" ht="15.6">
      <c r="A72" s="25"/>
    </row>
    <row r="73" spans="1:14">
      <c r="A73" s="28" t="s">
        <v>178</v>
      </c>
      <c r="B73" s="71" t="s">
        <v>89</v>
      </c>
      <c r="C73" s="71" t="s">
        <v>90</v>
      </c>
      <c r="D73" s="72" t="s">
        <v>91</v>
      </c>
      <c r="E73" s="71" t="s">
        <v>92</v>
      </c>
      <c r="F73" s="71" t="s">
        <v>93</v>
      </c>
      <c r="G73" s="71" t="s">
        <v>94</v>
      </c>
      <c r="H73" s="72" t="s">
        <v>95</v>
      </c>
      <c r="I73" s="72" t="s">
        <v>96</v>
      </c>
      <c r="J73" s="72" t="s">
        <v>97</v>
      </c>
      <c r="K73" s="72" t="s">
        <v>98</v>
      </c>
      <c r="L73" s="72" t="s">
        <v>99</v>
      </c>
      <c r="M73" s="72" t="s">
        <v>100</v>
      </c>
      <c r="N73" s="29" t="s">
        <v>74</v>
      </c>
    </row>
    <row r="74" spans="1:14">
      <c r="A74" t="s">
        <v>174</v>
      </c>
      <c r="B74">
        <v>0</v>
      </c>
      <c r="C74">
        <v>10</v>
      </c>
      <c r="D74">
        <v>20</v>
      </c>
      <c r="E74">
        <v>43</v>
      </c>
      <c r="F74">
        <v>68</v>
      </c>
      <c r="G74">
        <v>66</v>
      </c>
      <c r="H74">
        <v>67</v>
      </c>
      <c r="I74">
        <v>77</v>
      </c>
      <c r="J74">
        <v>88</v>
      </c>
      <c r="K74">
        <v>89</v>
      </c>
      <c r="L74">
        <v>98</v>
      </c>
      <c r="M74">
        <v>27</v>
      </c>
      <c r="N74">
        <f>SUM(B74:M74)</f>
        <v>653</v>
      </c>
    </row>
    <row r="75" spans="1:14">
      <c r="A75" t="s">
        <v>173</v>
      </c>
      <c r="B75">
        <v>0</v>
      </c>
      <c r="C75">
        <v>15</v>
      </c>
      <c r="D75">
        <v>30</v>
      </c>
      <c r="E75">
        <v>89</v>
      </c>
      <c r="F75">
        <v>66</v>
      </c>
      <c r="G75">
        <v>52</v>
      </c>
      <c r="H75">
        <v>99</v>
      </c>
      <c r="I75">
        <v>79</v>
      </c>
      <c r="J75">
        <v>86</v>
      </c>
      <c r="K75">
        <v>110</v>
      </c>
      <c r="L75">
        <v>77</v>
      </c>
      <c r="M75">
        <v>98</v>
      </c>
      <c r="N75">
        <f>SUM(B75:M75)</f>
        <v>801</v>
      </c>
    </row>
    <row r="76" spans="1:14">
      <c r="A76" t="str">
        <f>A63</f>
        <v>Social Media Manager</v>
      </c>
      <c r="B76">
        <v>0</v>
      </c>
      <c r="C76">
        <v>20</v>
      </c>
      <c r="D76">
        <v>50</v>
      </c>
      <c r="E76">
        <v>89</v>
      </c>
      <c r="F76">
        <v>110</v>
      </c>
      <c r="G76">
        <v>145</v>
      </c>
      <c r="H76">
        <v>130</v>
      </c>
      <c r="I76">
        <v>129</v>
      </c>
      <c r="J76">
        <v>130</v>
      </c>
      <c r="K76">
        <v>110</v>
      </c>
      <c r="L76">
        <v>120</v>
      </c>
      <c r="M76">
        <v>98</v>
      </c>
      <c r="N76">
        <f>SUM(B76:M76)</f>
        <v>1131</v>
      </c>
    </row>
    <row r="77" spans="1:14">
      <c r="A77" s="51" t="s">
        <v>75</v>
      </c>
      <c r="B77" s="51">
        <f t="shared" ref="B77:N77" si="2">SUM(B74:B76)</f>
        <v>0</v>
      </c>
      <c r="C77" s="51">
        <f t="shared" si="2"/>
        <v>45</v>
      </c>
      <c r="D77" s="51">
        <f t="shared" si="2"/>
        <v>100</v>
      </c>
      <c r="E77" s="51">
        <f t="shared" si="2"/>
        <v>221</v>
      </c>
      <c r="F77" s="51">
        <f t="shared" si="2"/>
        <v>244</v>
      </c>
      <c r="G77" s="51">
        <f t="shared" si="2"/>
        <v>263</v>
      </c>
      <c r="H77" s="51">
        <f t="shared" si="2"/>
        <v>296</v>
      </c>
      <c r="I77" s="51">
        <f t="shared" si="2"/>
        <v>285</v>
      </c>
      <c r="J77" s="51">
        <f t="shared" si="2"/>
        <v>304</v>
      </c>
      <c r="K77" s="51">
        <f t="shared" si="2"/>
        <v>309</v>
      </c>
      <c r="L77" s="51">
        <f t="shared" si="2"/>
        <v>295</v>
      </c>
      <c r="M77" s="51">
        <f t="shared" si="2"/>
        <v>223</v>
      </c>
      <c r="N77" s="51">
        <f t="shared" si="2"/>
        <v>2585</v>
      </c>
    </row>
    <row r="79" spans="1:14">
      <c r="A79" s="28" t="s">
        <v>179</v>
      </c>
      <c r="B79" s="71" t="s">
        <v>89</v>
      </c>
      <c r="C79" s="71" t="s">
        <v>90</v>
      </c>
      <c r="D79" s="72" t="s">
        <v>91</v>
      </c>
      <c r="E79" s="71" t="s">
        <v>92</v>
      </c>
      <c r="F79" s="71" t="s">
        <v>93</v>
      </c>
      <c r="G79" s="71" t="s">
        <v>94</v>
      </c>
      <c r="H79" s="72" t="s">
        <v>95</v>
      </c>
      <c r="I79" s="72" t="s">
        <v>96</v>
      </c>
      <c r="J79" s="72" t="s">
        <v>97</v>
      </c>
      <c r="K79" s="72" t="s">
        <v>98</v>
      </c>
      <c r="L79" s="72" t="s">
        <v>99</v>
      </c>
      <c r="M79" s="72" t="s">
        <v>100</v>
      </c>
      <c r="N79" s="29" t="s">
        <v>74</v>
      </c>
    </row>
    <row r="80" spans="1:14">
      <c r="A80" t="s">
        <v>174</v>
      </c>
      <c r="B80" s="157">
        <f t="shared" ref="B80:M80" si="3">$N$80/12</f>
        <v>66.666666666666671</v>
      </c>
      <c r="C80" s="157">
        <f t="shared" si="3"/>
        <v>66.666666666666671</v>
      </c>
      <c r="D80" s="157">
        <f t="shared" si="3"/>
        <v>66.666666666666671</v>
      </c>
      <c r="E80" s="157">
        <f t="shared" si="3"/>
        <v>66.666666666666671</v>
      </c>
      <c r="F80" s="157">
        <f t="shared" si="3"/>
        <v>66.666666666666671</v>
      </c>
      <c r="G80" s="157">
        <f t="shared" si="3"/>
        <v>66.666666666666671</v>
      </c>
      <c r="H80" s="157">
        <f t="shared" si="3"/>
        <v>66.666666666666671</v>
      </c>
      <c r="I80" s="157">
        <f t="shared" si="3"/>
        <v>66.666666666666671</v>
      </c>
      <c r="J80" s="157">
        <f t="shared" si="3"/>
        <v>66.666666666666671</v>
      </c>
      <c r="K80" s="157">
        <f t="shared" si="3"/>
        <v>66.666666666666671</v>
      </c>
      <c r="L80" s="157">
        <f t="shared" si="3"/>
        <v>66.666666666666671</v>
      </c>
      <c r="M80" s="157">
        <f t="shared" si="3"/>
        <v>66.666666666666671</v>
      </c>
      <c r="N80">
        <v>800</v>
      </c>
    </row>
    <row r="81" spans="1:15">
      <c r="A81" t="s">
        <v>173</v>
      </c>
      <c r="B81" s="157">
        <f t="shared" ref="B81:M81" si="4">$N$81/12</f>
        <v>100</v>
      </c>
      <c r="C81" s="157">
        <f t="shared" si="4"/>
        <v>100</v>
      </c>
      <c r="D81" s="157">
        <f t="shared" si="4"/>
        <v>100</v>
      </c>
      <c r="E81" s="157">
        <f t="shared" si="4"/>
        <v>100</v>
      </c>
      <c r="F81" s="157">
        <f t="shared" si="4"/>
        <v>100</v>
      </c>
      <c r="G81" s="157">
        <f t="shared" si="4"/>
        <v>100</v>
      </c>
      <c r="H81" s="157">
        <f t="shared" si="4"/>
        <v>100</v>
      </c>
      <c r="I81" s="157">
        <f t="shared" si="4"/>
        <v>100</v>
      </c>
      <c r="J81" s="157">
        <f t="shared" si="4"/>
        <v>100</v>
      </c>
      <c r="K81" s="157">
        <f t="shared" si="4"/>
        <v>100</v>
      </c>
      <c r="L81" s="157">
        <f t="shared" si="4"/>
        <v>100</v>
      </c>
      <c r="M81" s="157">
        <f t="shared" si="4"/>
        <v>100</v>
      </c>
      <c r="N81">
        <v>1200</v>
      </c>
      <c r="O81" s="73"/>
    </row>
    <row r="82" spans="1:15">
      <c r="A82" t="str">
        <f>A63</f>
        <v>Social Media Manager</v>
      </c>
      <c r="B82" s="157">
        <f t="shared" ref="B82:M82" si="5">$N$82/12</f>
        <v>166.66666666666666</v>
      </c>
      <c r="C82" s="157">
        <f t="shared" si="5"/>
        <v>166.66666666666666</v>
      </c>
      <c r="D82" s="157">
        <f t="shared" si="5"/>
        <v>166.66666666666666</v>
      </c>
      <c r="E82" s="157">
        <f t="shared" si="5"/>
        <v>166.66666666666666</v>
      </c>
      <c r="F82" s="157">
        <f t="shared" si="5"/>
        <v>166.66666666666666</v>
      </c>
      <c r="G82" s="157">
        <f t="shared" si="5"/>
        <v>166.66666666666666</v>
      </c>
      <c r="H82" s="157">
        <f t="shared" si="5"/>
        <v>166.66666666666666</v>
      </c>
      <c r="I82" s="157">
        <f t="shared" si="5"/>
        <v>166.66666666666666</v>
      </c>
      <c r="J82" s="157">
        <f t="shared" si="5"/>
        <v>166.66666666666666</v>
      </c>
      <c r="K82" s="157">
        <f t="shared" si="5"/>
        <v>166.66666666666666</v>
      </c>
      <c r="L82" s="157">
        <f t="shared" si="5"/>
        <v>166.66666666666666</v>
      </c>
      <c r="M82" s="157">
        <f t="shared" si="5"/>
        <v>166.66666666666666</v>
      </c>
      <c r="N82">
        <v>2000</v>
      </c>
      <c r="O82" s="73"/>
    </row>
    <row r="83" spans="1:15">
      <c r="A83" s="51" t="s">
        <v>75</v>
      </c>
      <c r="B83" s="160">
        <f t="shared" ref="B83:N83" si="6">SUM(B80:B82)</f>
        <v>333.33333333333337</v>
      </c>
      <c r="C83" s="160">
        <f t="shared" si="6"/>
        <v>333.33333333333337</v>
      </c>
      <c r="D83" s="160">
        <f t="shared" si="6"/>
        <v>333.33333333333337</v>
      </c>
      <c r="E83" s="160">
        <f t="shared" si="6"/>
        <v>333.33333333333337</v>
      </c>
      <c r="F83" s="160">
        <f t="shared" si="6"/>
        <v>333.33333333333337</v>
      </c>
      <c r="G83" s="160">
        <f t="shared" si="6"/>
        <v>333.33333333333337</v>
      </c>
      <c r="H83" s="160">
        <f t="shared" si="6"/>
        <v>333.33333333333337</v>
      </c>
      <c r="I83" s="160">
        <f t="shared" si="6"/>
        <v>333.33333333333337</v>
      </c>
      <c r="J83" s="160">
        <f t="shared" si="6"/>
        <v>333.33333333333337</v>
      </c>
      <c r="K83" s="160">
        <f t="shared" si="6"/>
        <v>333.33333333333337</v>
      </c>
      <c r="L83" s="160">
        <f t="shared" si="6"/>
        <v>333.33333333333337</v>
      </c>
      <c r="M83" s="160">
        <f t="shared" si="6"/>
        <v>333.33333333333337</v>
      </c>
      <c r="N83" s="51">
        <f t="shared" si="6"/>
        <v>4000</v>
      </c>
    </row>
  </sheetData>
  <hyperlinks>
    <hyperlink ref="E26" r:id="rId1" xr:uid="{006F3F41-660C-48A5-AE96-C0AC2DF67E85}"/>
    <hyperlink ref="E27" r:id="rId2" xr:uid="{93FDD0A8-993A-460B-915F-66840E23DAB7}"/>
    <hyperlink ref="E28" r:id="rId3" xr:uid="{E35161FA-022E-4AC6-830D-93D68684F37D}"/>
    <hyperlink ref="E29" r:id="rId4" xr:uid="{8B69EB34-3C5C-4384-8925-9056E862958B}"/>
    <hyperlink ref="E30" r:id="rId5" xr:uid="{7204ECE4-6A43-47AE-8BBB-DADB6D39A176}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3062-2A40-3747-A55B-BF9B5AFB10C5}">
  <dimension ref="A1:Q46"/>
  <sheetViews>
    <sheetView topLeftCell="A11" zoomScaleNormal="100" workbookViewId="0">
      <selection activeCell="B50" sqref="B50"/>
    </sheetView>
  </sheetViews>
  <sheetFormatPr defaultColWidth="11.44140625" defaultRowHeight="14.4"/>
  <cols>
    <col min="1" max="1" width="27.33203125" bestFit="1" customWidth="1"/>
    <col min="2" max="2" width="15" customWidth="1"/>
    <col min="3" max="3" width="13.33203125" customWidth="1"/>
    <col min="4" max="4" width="13.44140625" customWidth="1"/>
    <col min="5" max="5" width="15.6640625" customWidth="1"/>
    <col min="6" max="6" width="13.44140625" customWidth="1"/>
    <col min="7" max="7" width="13.109375" customWidth="1"/>
    <col min="8" max="8" width="13.33203125" customWidth="1"/>
    <col min="9" max="9" width="13.6640625" customWidth="1"/>
    <col min="10" max="12" width="13.33203125" customWidth="1"/>
    <col min="13" max="13" width="13.6640625" customWidth="1"/>
    <col min="14" max="14" width="21.44140625" customWidth="1"/>
    <col min="15" max="15" width="17.33203125" customWidth="1"/>
    <col min="16" max="16" width="16.6640625" customWidth="1"/>
  </cols>
  <sheetData>
    <row r="1" spans="1:17" ht="24" thickBot="1">
      <c r="A1" s="3" t="s">
        <v>180</v>
      </c>
      <c r="B1" s="164" t="s">
        <v>178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7" ht="15" thickBot="1">
      <c r="B2" s="102"/>
      <c r="C2" s="140" t="s">
        <v>181</v>
      </c>
      <c r="D2" s="103"/>
      <c r="E2" s="102"/>
      <c r="F2" s="140" t="s">
        <v>182</v>
      </c>
      <c r="G2" s="103"/>
      <c r="H2" s="102"/>
      <c r="I2" s="140" t="s">
        <v>183</v>
      </c>
      <c r="J2" s="103"/>
      <c r="K2" s="102"/>
      <c r="L2" s="140" t="s">
        <v>184</v>
      </c>
      <c r="M2" s="103"/>
      <c r="N2" s="141" t="s">
        <v>74</v>
      </c>
      <c r="O2" s="1" t="s">
        <v>185</v>
      </c>
      <c r="P2" s="1"/>
      <c r="Q2" s="1"/>
    </row>
    <row r="3" spans="1:17">
      <c r="A3" s="104" t="s">
        <v>137</v>
      </c>
      <c r="B3" s="105" t="s">
        <v>186</v>
      </c>
      <c r="C3" s="105" t="s">
        <v>187</v>
      </c>
      <c r="D3" s="106" t="s">
        <v>91</v>
      </c>
      <c r="E3" s="105" t="s">
        <v>92</v>
      </c>
      <c r="F3" s="105" t="s">
        <v>93</v>
      </c>
      <c r="G3" s="106" t="s">
        <v>94</v>
      </c>
      <c r="H3" s="105" t="s">
        <v>95</v>
      </c>
      <c r="I3" s="105" t="s">
        <v>188</v>
      </c>
      <c r="J3" s="106" t="s">
        <v>189</v>
      </c>
      <c r="K3" s="105" t="s">
        <v>190</v>
      </c>
      <c r="L3" s="105" t="s">
        <v>191</v>
      </c>
      <c r="M3" s="106" t="s">
        <v>192</v>
      </c>
      <c r="N3" s="107"/>
    </row>
    <row r="4" spans="1:17">
      <c r="A4" s="10" t="s">
        <v>193</v>
      </c>
      <c r="B4" s="107"/>
      <c r="C4" s="107"/>
      <c r="D4" s="108"/>
      <c r="E4" s="107"/>
      <c r="F4" s="107"/>
      <c r="G4" s="108"/>
      <c r="H4" s="107"/>
      <c r="I4" s="107"/>
      <c r="J4" s="108"/>
      <c r="K4" s="107"/>
      <c r="L4" s="107"/>
      <c r="M4" s="108"/>
      <c r="N4" s="107"/>
    </row>
    <row r="5" spans="1:17">
      <c r="A5" t="str">
        <f>'Cost price or Hourly rate'!A74</f>
        <v>Designer</v>
      </c>
      <c r="B5" s="56">
        <f>'Cost price or Hourly rate'!$K$61*'Cost price or Hourly rate'!B74</f>
        <v>0</v>
      </c>
      <c r="C5" s="56">
        <f>'Cost price or Hourly rate'!$K$61*'Cost price or Hourly rate'!C74</f>
        <v>790.07033960169883</v>
      </c>
      <c r="D5" s="56">
        <f>'Cost price or Hourly rate'!$K$61*'Cost price or Hourly rate'!D74</f>
        <v>1580.1406792033977</v>
      </c>
      <c r="E5" s="109">
        <f>'Cost price or Hourly rate'!$K$61*'Cost price or Hourly rate'!E74</f>
        <v>3397.3024602873047</v>
      </c>
      <c r="F5" s="56">
        <f>'Cost price or Hourly rate'!$K$61*'Cost price or Hourly rate'!F74</f>
        <v>5372.4783092915513</v>
      </c>
      <c r="G5" s="56">
        <f>'Cost price or Hourly rate'!$K$61*'Cost price or Hourly rate'!G74</f>
        <v>5214.4642413712118</v>
      </c>
      <c r="H5" s="109">
        <f>'Cost price or Hourly rate'!$K$61*'Cost price or Hourly rate'!H74</f>
        <v>5293.4712753313815</v>
      </c>
      <c r="I5" s="56">
        <f>'Cost price or Hourly rate'!$K$61*'Cost price or Hourly rate'!I74</f>
        <v>6083.5416149330804</v>
      </c>
      <c r="J5" s="56">
        <f>'Cost price or Hourly rate'!$K$61*'Cost price or Hourly rate'!J74</f>
        <v>6952.618988494949</v>
      </c>
      <c r="K5" s="109">
        <f>'Cost price or Hourly rate'!$K$61*'Cost price or Hourly rate'!K74</f>
        <v>7031.6260224551188</v>
      </c>
      <c r="L5" s="56">
        <f>'Cost price or Hourly rate'!$K$61*'Cost price or Hourly rate'!L74</f>
        <v>7742.6893280966478</v>
      </c>
      <c r="M5" s="56">
        <f>'Cost price or Hourly rate'!$K$61*'Cost price or Hourly rate'!M74</f>
        <v>2133.1899169245867</v>
      </c>
      <c r="N5" s="109">
        <f>'Cost price or Hourly rate'!$K$61*'Cost price or Hourly rate'!N74</f>
        <v>51591.593175990929</v>
      </c>
    </row>
    <row r="6" spans="1:17">
      <c r="A6" t="str">
        <f>'Cost price or Hourly rate'!A75</f>
        <v xml:space="preserve">PR Specialist </v>
      </c>
      <c r="B6" s="56">
        <f>'Cost price or Hourly rate'!$K$62*'Cost price or Hourly rate'!B75</f>
        <v>0</v>
      </c>
      <c r="C6" s="56">
        <f>'Cost price or Hourly rate'!$K$62*'Cost price or Hourly rate'!C75</f>
        <v>1261.468765486685</v>
      </c>
      <c r="D6" s="56">
        <f>'Cost price or Hourly rate'!$K$62*'Cost price or Hourly rate'!D75</f>
        <v>2522.93753097337</v>
      </c>
      <c r="E6" s="109">
        <f>'Cost price or Hourly rate'!$K$62*'Cost price or Hourly rate'!E75</f>
        <v>7484.7146752209974</v>
      </c>
      <c r="F6" s="56">
        <f>'Cost price or Hourly rate'!$K$62*'Cost price or Hourly rate'!F75</f>
        <v>5550.4625681414136</v>
      </c>
      <c r="G6" s="56">
        <f>'Cost price or Hourly rate'!$K$62*'Cost price or Hourly rate'!G75</f>
        <v>4373.0917203538411</v>
      </c>
      <c r="H6" s="109">
        <f>'Cost price or Hourly rate'!$K$62*'Cost price or Hourly rate'!H75</f>
        <v>8325.69385221212</v>
      </c>
      <c r="I6" s="56">
        <f>'Cost price or Hourly rate'!$K$62*'Cost price or Hourly rate'!I75</f>
        <v>6643.7354982298739</v>
      </c>
      <c r="J6" s="56">
        <f>'Cost price or Hourly rate'!$K$62*'Cost price or Hourly rate'!J75</f>
        <v>7232.4209221236606</v>
      </c>
      <c r="K6" s="109">
        <f>'Cost price or Hourly rate'!$K$62*'Cost price or Hourly rate'!K75</f>
        <v>9250.7709469023557</v>
      </c>
      <c r="L6" s="56">
        <f>'Cost price or Hourly rate'!$K$62*'Cost price or Hourly rate'!L75</f>
        <v>6475.5396628316494</v>
      </c>
      <c r="M6" s="56">
        <f>'Cost price or Hourly rate'!$K$62*'Cost price or Hourly rate'!M75</f>
        <v>8241.5959345130086</v>
      </c>
      <c r="N6" s="109">
        <f>'Cost price or Hourly rate'!$K$62*'Cost price or Hourly rate'!N75</f>
        <v>67362.432076988975</v>
      </c>
    </row>
    <row r="7" spans="1:17">
      <c r="A7" t="str">
        <f>'Cost price or Hourly rate'!A76</f>
        <v>Social Media Manager</v>
      </c>
      <c r="B7" s="56">
        <f>'Cost price or Hourly rate'!$K$63*'Cost price or Hourly rate'!B76</f>
        <v>0</v>
      </c>
      <c r="C7" s="56">
        <f>'Cost price or Hourly rate'!$K$63*'Cost price or Hourly rate'!C76</f>
        <v>1780.6437778760328</v>
      </c>
      <c r="D7" s="56">
        <f>'Cost price or Hourly rate'!$K$63*'Cost price or Hourly rate'!D76</f>
        <v>4451.6094446900825</v>
      </c>
      <c r="E7" s="109">
        <f>'Cost price or Hourly rate'!$K$63*'Cost price or Hourly rate'!E76</f>
        <v>7923.8648115483466</v>
      </c>
      <c r="F7" s="56">
        <f>'Cost price or Hourly rate'!$K$63*'Cost price or Hourly rate'!F76</f>
        <v>9793.5407783181818</v>
      </c>
      <c r="G7" s="56">
        <f>'Cost price or Hourly rate'!$K$63*'Cost price or Hourly rate'!G76</f>
        <v>12909.667389601238</v>
      </c>
      <c r="H7" s="109">
        <f>'Cost price or Hourly rate'!$K$63*'Cost price or Hourly rate'!H76</f>
        <v>11574.184556194214</v>
      </c>
      <c r="I7" s="56">
        <f>'Cost price or Hourly rate'!$K$63*'Cost price or Hourly rate'!I76</f>
        <v>11485.152367300412</v>
      </c>
      <c r="J7" s="56">
        <f>'Cost price or Hourly rate'!$K$63*'Cost price or Hourly rate'!J76</f>
        <v>11574.184556194214</v>
      </c>
      <c r="K7" s="109">
        <f>'Cost price or Hourly rate'!$K$63*'Cost price or Hourly rate'!K76</f>
        <v>9793.5407783181818</v>
      </c>
      <c r="L7" s="56">
        <f>'Cost price or Hourly rate'!$K$63*'Cost price or Hourly rate'!L76</f>
        <v>10683.862667256197</v>
      </c>
      <c r="M7" s="56">
        <f>'Cost price or Hourly rate'!$K$63*'Cost price or Hourly rate'!M76</f>
        <v>8725.1545115925619</v>
      </c>
      <c r="N7" s="109">
        <f>'Cost price or Hourly rate'!$K$63*'Cost price or Hourly rate'!N76</f>
        <v>100695.40563888966</v>
      </c>
    </row>
    <row r="8" spans="1:17">
      <c r="B8" s="56"/>
      <c r="C8" s="56"/>
      <c r="D8" s="110"/>
      <c r="E8" s="56"/>
      <c r="F8" s="56"/>
      <c r="G8" s="56"/>
      <c r="H8" s="109"/>
      <c r="I8" s="56"/>
      <c r="J8" s="56"/>
      <c r="K8" s="111"/>
      <c r="L8" s="56"/>
      <c r="M8" s="56"/>
      <c r="N8" s="111"/>
    </row>
    <row r="9" spans="1:17">
      <c r="A9" s="4" t="s">
        <v>74</v>
      </c>
      <c r="B9" s="65">
        <f>SUM(B5:B7)</f>
        <v>0</v>
      </c>
      <c r="C9" s="65">
        <f t="shared" ref="C9:N9" si="0">SUM(C5:C7)</f>
        <v>3832.1828829644164</v>
      </c>
      <c r="D9" s="65">
        <f t="shared" si="0"/>
        <v>8554.6876548668497</v>
      </c>
      <c r="E9" s="112">
        <f t="shared" si="0"/>
        <v>18805.881947056649</v>
      </c>
      <c r="F9" s="65">
        <f t="shared" si="0"/>
        <v>20716.481655751144</v>
      </c>
      <c r="G9" s="65">
        <f t="shared" si="0"/>
        <v>22497.223351326291</v>
      </c>
      <c r="H9" s="112">
        <f t="shared" si="0"/>
        <v>25193.349683737717</v>
      </c>
      <c r="I9" s="65">
        <f t="shared" si="0"/>
        <v>24212.429480463368</v>
      </c>
      <c r="J9" s="65">
        <f t="shared" si="0"/>
        <v>25759.224466812822</v>
      </c>
      <c r="K9" s="112">
        <f t="shared" si="0"/>
        <v>26075.937747675656</v>
      </c>
      <c r="L9" s="65">
        <f t="shared" si="0"/>
        <v>24902.091658184494</v>
      </c>
      <c r="M9" s="65">
        <f t="shared" si="0"/>
        <v>19099.940363030157</v>
      </c>
      <c r="N9" s="112">
        <f t="shared" si="0"/>
        <v>219649.43089186956</v>
      </c>
    </row>
    <row r="10" spans="1:17">
      <c r="A10" s="10" t="s">
        <v>194</v>
      </c>
      <c r="B10" s="113"/>
      <c r="C10" s="113"/>
      <c r="D10" s="114"/>
      <c r="E10" s="115"/>
      <c r="F10" s="113"/>
      <c r="G10" s="114"/>
      <c r="H10" s="115"/>
      <c r="I10" s="113"/>
      <c r="J10" s="114"/>
      <c r="K10" s="115"/>
      <c r="L10" s="113"/>
      <c r="M10" s="114"/>
      <c r="N10" s="115"/>
    </row>
    <row r="11" spans="1:17">
      <c r="A11" t="str">
        <f>'Cost price or Hourly rate'!A61</f>
        <v xml:space="preserve">PR Specialist </v>
      </c>
      <c r="B11" s="56">
        <f>'Cost price or Hourly rate'!B74*'Cost price or Hourly rate'!$I$61</f>
        <v>0</v>
      </c>
      <c r="C11" s="56">
        <f>'Cost price or Hourly rate'!C74*'Cost price or Hourly rate'!$I$61</f>
        <v>564.33595685835621</v>
      </c>
      <c r="D11" s="56">
        <f>'Cost price or Hourly rate'!D74*'Cost price or Hourly rate'!$I$61</f>
        <v>1128.6719137167124</v>
      </c>
      <c r="E11" s="109">
        <f>'Cost price or Hourly rate'!E74*'Cost price or Hourly rate'!$I$61</f>
        <v>2426.6446144909319</v>
      </c>
      <c r="F11" s="56">
        <f>'Cost price or Hourly rate'!F74*'Cost price or Hourly rate'!$I$61</f>
        <v>3837.4845066368225</v>
      </c>
      <c r="G11" s="56">
        <f>'Cost price or Hourly rate'!G74*'Cost price or Hourly rate'!$I$61</f>
        <v>3724.6173152651513</v>
      </c>
      <c r="H11" s="109">
        <f>'Cost price or Hourly rate'!H74*'Cost price or Hourly rate'!$I$61</f>
        <v>3781.0509109509871</v>
      </c>
      <c r="I11" s="56">
        <f>'Cost price or Hourly rate'!I74*'Cost price or Hourly rate'!$I$61</f>
        <v>4345.3868678093431</v>
      </c>
      <c r="J11" s="56">
        <f>'Cost price or Hourly rate'!J74*'Cost price or Hourly rate'!$I$61</f>
        <v>4966.1564203535354</v>
      </c>
      <c r="K11" s="109">
        <f>'Cost price or Hourly rate'!K74*'Cost price or Hourly rate'!$I$61</f>
        <v>5022.5900160393712</v>
      </c>
      <c r="L11" s="56">
        <f>'Cost price or Hourly rate'!L74*'Cost price or Hourly rate'!$I$61</f>
        <v>5530.4923772118918</v>
      </c>
      <c r="M11" s="56">
        <f>'Cost price or Hourly rate'!M74*'Cost price or Hourly rate'!$I$61</f>
        <v>1523.7070835175618</v>
      </c>
      <c r="N11" s="109">
        <f>'Cost price or Hourly rate'!N74*'Cost price or Hourly rate'!$I$61</f>
        <v>36851.137982850662</v>
      </c>
    </row>
    <row r="12" spans="1:17">
      <c r="A12" t="str">
        <f>'Cost price or Hourly rate'!A62</f>
        <v>Designer</v>
      </c>
      <c r="B12" s="56">
        <f>'Cost price or Hourly rate'!B75*'Cost price or Hourly rate'!$I$62</f>
        <v>0</v>
      </c>
      <c r="C12" s="56">
        <f>'Cost price or Hourly rate'!C75*'Cost price or Hourly rate'!$I$62</f>
        <v>901.04911820477503</v>
      </c>
      <c r="D12" s="56">
        <f>'Cost price or Hourly rate'!D75*'Cost price or Hourly rate'!$I$62</f>
        <v>1802.0982364095501</v>
      </c>
      <c r="E12" s="109">
        <f>'Cost price or Hourly rate'!E75*'Cost price or Hourly rate'!$I$62</f>
        <v>5346.2247680149985</v>
      </c>
      <c r="F12" s="56">
        <f>'Cost price or Hourly rate'!F75*'Cost price or Hourly rate'!$I$62</f>
        <v>3964.61612010101</v>
      </c>
      <c r="G12" s="56">
        <f>'Cost price or Hourly rate'!G75*'Cost price or Hourly rate'!$I$62</f>
        <v>3123.6369431098865</v>
      </c>
      <c r="H12" s="109">
        <f>'Cost price or Hourly rate'!H75*'Cost price or Hourly rate'!$I$62</f>
        <v>5946.9241801515154</v>
      </c>
      <c r="I12" s="56">
        <f>'Cost price or Hourly rate'!I75*'Cost price or Hourly rate'!$I$62</f>
        <v>4745.5253558784816</v>
      </c>
      <c r="J12" s="56">
        <f>'Cost price or Hourly rate'!J75*'Cost price or Hourly rate'!$I$62</f>
        <v>5166.0149443740438</v>
      </c>
      <c r="K12" s="109">
        <f>'Cost price or Hourly rate'!K75*'Cost price or Hourly rate'!$I$62</f>
        <v>6607.6935335016833</v>
      </c>
      <c r="L12" s="56">
        <f>'Cost price or Hourly rate'!L75*'Cost price or Hourly rate'!$I$62</f>
        <v>4625.3854734511788</v>
      </c>
      <c r="M12" s="56">
        <f>'Cost price or Hourly rate'!M75*'Cost price or Hourly rate'!$I$62</f>
        <v>5886.8542389378636</v>
      </c>
      <c r="N12" s="109">
        <f>'Cost price or Hourly rate'!N75*'Cost price or Hourly rate'!$I$62</f>
        <v>48116.022912134984</v>
      </c>
      <c r="P12" s="56"/>
    </row>
    <row r="13" spans="1:17">
      <c r="A13" t="str">
        <f>'Cost price or Hourly rate'!A63</f>
        <v>Social Media Manager</v>
      </c>
      <c r="B13" s="56">
        <f>'Cost price or Hourly rate'!B76*'Cost price or Hourly rate'!$I$63</f>
        <v>0</v>
      </c>
      <c r="C13" s="56">
        <f>'Cost price or Hourly rate'!C76*'Cost price or Hourly rate'!$I$63</f>
        <v>1271.8884127685951</v>
      </c>
      <c r="D13" s="56">
        <f>'Cost price or Hourly rate'!D76*'Cost price or Hourly rate'!$I$63</f>
        <v>3179.7210319214878</v>
      </c>
      <c r="E13" s="109">
        <f>'Cost price or Hourly rate'!E76*'Cost price or Hourly rate'!$I$63</f>
        <v>5659.9034368202483</v>
      </c>
      <c r="F13" s="56">
        <f>'Cost price or Hourly rate'!F76*'Cost price or Hourly rate'!$I$63</f>
        <v>6995.3862702272727</v>
      </c>
      <c r="G13" s="56">
        <f>'Cost price or Hourly rate'!G76*'Cost price or Hourly rate'!$I$63</f>
        <v>9221.1909925723139</v>
      </c>
      <c r="H13" s="109">
        <f>'Cost price or Hourly rate'!H76*'Cost price or Hourly rate'!$I$63</f>
        <v>8267.2746829958687</v>
      </c>
      <c r="I13" s="56">
        <f>'Cost price or Hourly rate'!I76*'Cost price or Hourly rate'!$I$63</f>
        <v>8203.6802623574386</v>
      </c>
      <c r="J13" s="56">
        <f>'Cost price or Hourly rate'!J76*'Cost price or Hourly rate'!$I$63</f>
        <v>8267.2746829958687</v>
      </c>
      <c r="K13" s="109">
        <f>'Cost price or Hourly rate'!K76*'Cost price or Hourly rate'!$I$63</f>
        <v>6995.3862702272727</v>
      </c>
      <c r="L13" s="56">
        <f>'Cost price or Hourly rate'!L76*'Cost price or Hourly rate'!$I$63</f>
        <v>7631.3304766115707</v>
      </c>
      <c r="M13" s="56">
        <f>'Cost price or Hourly rate'!M76*'Cost price or Hourly rate'!$I$63</f>
        <v>6232.2532225661162</v>
      </c>
      <c r="N13" s="109">
        <f>'Cost price or Hourly rate'!N76*'Cost price or Hourly rate'!$I$63</f>
        <v>71925.289742064051</v>
      </c>
    </row>
    <row r="14" spans="1:17">
      <c r="B14" s="56"/>
      <c r="C14" s="56"/>
      <c r="D14" s="56"/>
      <c r="E14" s="109"/>
      <c r="F14" s="56"/>
      <c r="G14" s="56"/>
      <c r="H14" s="109"/>
      <c r="I14" s="56"/>
      <c r="J14" s="56"/>
      <c r="K14" s="109"/>
      <c r="L14" s="56"/>
      <c r="M14" s="56"/>
      <c r="N14" s="109"/>
    </row>
    <row r="15" spans="1:17">
      <c r="A15" s="4" t="s">
        <v>74</v>
      </c>
      <c r="B15" s="65">
        <f t="shared" ref="B15:N15" si="1">SUM(B11:B13)</f>
        <v>0</v>
      </c>
      <c r="C15" s="65">
        <f t="shared" si="1"/>
        <v>2737.2734878317265</v>
      </c>
      <c r="D15" s="65">
        <f t="shared" si="1"/>
        <v>6110.49118204775</v>
      </c>
      <c r="E15" s="112">
        <f t="shared" si="1"/>
        <v>13432.772819326179</v>
      </c>
      <c r="F15" s="65">
        <f t="shared" si="1"/>
        <v>14797.486896965105</v>
      </c>
      <c r="G15" s="65">
        <f t="shared" si="1"/>
        <v>16069.445250947352</v>
      </c>
      <c r="H15" s="112">
        <f t="shared" si="1"/>
        <v>17995.249774098371</v>
      </c>
      <c r="I15" s="65">
        <f t="shared" si="1"/>
        <v>17294.592486045265</v>
      </c>
      <c r="J15" s="65">
        <f t="shared" si="1"/>
        <v>18399.446047723446</v>
      </c>
      <c r="K15" s="112">
        <f t="shared" si="1"/>
        <v>18625.669819768329</v>
      </c>
      <c r="L15" s="65">
        <f t="shared" si="1"/>
        <v>17787.208327274639</v>
      </c>
      <c r="M15" s="65">
        <f t="shared" si="1"/>
        <v>13642.814545021542</v>
      </c>
      <c r="N15" s="112">
        <f t="shared" si="1"/>
        <v>156892.45063704968</v>
      </c>
    </row>
    <row r="16" spans="1:17">
      <c r="A16" s="1"/>
      <c r="B16" s="56"/>
      <c r="C16" s="56"/>
      <c r="D16" s="56"/>
      <c r="E16" s="109"/>
      <c r="F16" s="56"/>
      <c r="G16" s="56"/>
      <c r="H16" s="109"/>
      <c r="I16" s="56"/>
      <c r="J16" s="56"/>
      <c r="K16" s="109"/>
      <c r="L16" s="56"/>
      <c r="M16" s="56"/>
      <c r="N16" s="109"/>
    </row>
    <row r="17" spans="1:15">
      <c r="A17" s="1" t="s">
        <v>195</v>
      </c>
      <c r="B17" s="55">
        <f t="shared" ref="B17:N17" si="2">B9-B15</f>
        <v>0</v>
      </c>
      <c r="C17" s="56">
        <f t="shared" si="2"/>
        <v>1094.90939513269</v>
      </c>
      <c r="D17" s="56">
        <f t="shared" si="2"/>
        <v>2444.1964728190997</v>
      </c>
      <c r="E17" s="109">
        <f t="shared" si="2"/>
        <v>5373.1091277304695</v>
      </c>
      <c r="F17" s="56">
        <f t="shared" si="2"/>
        <v>5918.9947587860388</v>
      </c>
      <c r="G17" s="56">
        <f t="shared" si="2"/>
        <v>6427.7781003789387</v>
      </c>
      <c r="H17" s="109">
        <f t="shared" si="2"/>
        <v>7198.0999096393462</v>
      </c>
      <c r="I17" s="56">
        <f t="shared" si="2"/>
        <v>6917.8369944181031</v>
      </c>
      <c r="J17" s="56">
        <f t="shared" si="2"/>
        <v>7359.7784190893763</v>
      </c>
      <c r="K17" s="109">
        <f t="shared" si="2"/>
        <v>7450.2679279073272</v>
      </c>
      <c r="L17" s="56">
        <f t="shared" si="2"/>
        <v>7114.8833309098554</v>
      </c>
      <c r="M17" s="56">
        <f t="shared" si="2"/>
        <v>5457.1258180086152</v>
      </c>
      <c r="N17" s="109">
        <f t="shared" si="2"/>
        <v>62756.980254819879</v>
      </c>
    </row>
    <row r="18" spans="1:15">
      <c r="B18" s="56"/>
      <c r="C18" s="56"/>
      <c r="D18" s="56"/>
      <c r="E18" s="109"/>
      <c r="F18" s="56"/>
      <c r="G18" s="56"/>
      <c r="H18" s="109"/>
      <c r="I18" s="56"/>
      <c r="J18" s="56"/>
      <c r="K18" s="109"/>
      <c r="L18" s="56"/>
      <c r="M18" s="56"/>
      <c r="N18" s="109"/>
    </row>
    <row r="19" spans="1:15">
      <c r="A19" s="104" t="s">
        <v>137</v>
      </c>
      <c r="B19" s="116" t="s">
        <v>186</v>
      </c>
      <c r="C19" s="116" t="s">
        <v>187</v>
      </c>
      <c r="D19" s="117" t="s">
        <v>91</v>
      </c>
      <c r="E19" s="116" t="s">
        <v>92</v>
      </c>
      <c r="F19" s="116" t="s">
        <v>93</v>
      </c>
      <c r="G19" s="117" t="s">
        <v>94</v>
      </c>
      <c r="H19" s="116" t="s">
        <v>95</v>
      </c>
      <c r="I19" s="116" t="s">
        <v>188</v>
      </c>
      <c r="J19" s="117" t="s">
        <v>189</v>
      </c>
      <c r="K19" s="116" t="s">
        <v>190</v>
      </c>
      <c r="L19" s="116" t="s">
        <v>191</v>
      </c>
      <c r="M19" s="117" t="s">
        <v>192</v>
      </c>
      <c r="N19" s="115"/>
    </row>
    <row r="20" spans="1:15">
      <c r="A20" s="10" t="s">
        <v>196</v>
      </c>
      <c r="B20" s="113"/>
      <c r="C20" s="113"/>
      <c r="D20" s="114"/>
      <c r="E20" s="113"/>
      <c r="F20" s="113"/>
      <c r="G20" s="114"/>
      <c r="H20" s="113"/>
      <c r="I20" s="113"/>
      <c r="J20" s="114"/>
      <c r="K20" s="113"/>
      <c r="L20" s="113"/>
      <c r="M20" s="114"/>
      <c r="N20" s="113"/>
    </row>
    <row r="21" spans="1:15">
      <c r="A21" t="str">
        <f>'Cost price or Hourly rate'!A50</f>
        <v>Depreciations per year</v>
      </c>
      <c r="B21" s="56">
        <f t="shared" ref="B21:M22" si="3">$N21/12</f>
        <v>182.29384756657487</v>
      </c>
      <c r="C21" s="56">
        <f t="shared" si="3"/>
        <v>182.29384756657487</v>
      </c>
      <c r="D21" s="56">
        <f t="shared" si="3"/>
        <v>182.29384756657487</v>
      </c>
      <c r="E21" s="109">
        <f t="shared" si="3"/>
        <v>182.29384756657487</v>
      </c>
      <c r="F21" s="56">
        <f t="shared" si="3"/>
        <v>182.29384756657487</v>
      </c>
      <c r="G21" s="56">
        <f t="shared" si="3"/>
        <v>182.29384756657487</v>
      </c>
      <c r="H21" s="109">
        <f t="shared" si="3"/>
        <v>182.29384756657487</v>
      </c>
      <c r="I21" s="56">
        <f t="shared" si="3"/>
        <v>182.29384756657487</v>
      </c>
      <c r="J21" s="56">
        <f t="shared" si="3"/>
        <v>182.29384756657487</v>
      </c>
      <c r="K21" s="109">
        <f t="shared" si="3"/>
        <v>182.29384756657487</v>
      </c>
      <c r="L21" s="56">
        <f t="shared" si="3"/>
        <v>182.29384756657487</v>
      </c>
      <c r="M21" s="56">
        <f t="shared" si="3"/>
        <v>182.29384756657487</v>
      </c>
      <c r="N21" s="109">
        <f>'Cost price or Hourly rate'!F23</f>
        <v>2187.5261707988984</v>
      </c>
      <c r="O21" s="55"/>
    </row>
    <row r="22" spans="1:15">
      <c r="A22" t="s">
        <v>160</v>
      </c>
      <c r="B22" s="56">
        <f t="shared" si="3"/>
        <v>3800</v>
      </c>
      <c r="C22" s="56">
        <f t="shared" si="3"/>
        <v>3800</v>
      </c>
      <c r="D22" s="56">
        <f t="shared" si="3"/>
        <v>3800</v>
      </c>
      <c r="E22" s="109">
        <f t="shared" si="3"/>
        <v>3800</v>
      </c>
      <c r="F22" s="56">
        <f t="shared" si="3"/>
        <v>3800</v>
      </c>
      <c r="G22" s="56">
        <f t="shared" si="3"/>
        <v>3800</v>
      </c>
      <c r="H22" s="109">
        <f t="shared" si="3"/>
        <v>3800</v>
      </c>
      <c r="I22" s="56">
        <f t="shared" si="3"/>
        <v>3800</v>
      </c>
      <c r="J22" s="56">
        <f t="shared" si="3"/>
        <v>3800</v>
      </c>
      <c r="K22" s="109">
        <f t="shared" si="3"/>
        <v>3800</v>
      </c>
      <c r="L22" s="56">
        <f t="shared" si="3"/>
        <v>3800</v>
      </c>
      <c r="M22" s="56">
        <f t="shared" si="3"/>
        <v>3800</v>
      </c>
      <c r="N22" s="109">
        <f>'Cost price or Hourly rate'!G45</f>
        <v>45600</v>
      </c>
      <c r="O22" s="55"/>
    </row>
    <row r="23" spans="1:15">
      <c r="A23" t="str">
        <f>'Cost price or Hourly rate'!A26</f>
        <v>Office Rent</v>
      </c>
      <c r="B23" s="56">
        <f>'Cost price or Hourly rate'!$B$26</f>
        <v>700</v>
      </c>
      <c r="C23" s="56">
        <f>'Cost price or Hourly rate'!$B$26</f>
        <v>700</v>
      </c>
      <c r="D23" s="56">
        <f>'Cost price or Hourly rate'!$B$26</f>
        <v>700</v>
      </c>
      <c r="E23" s="109">
        <f>'Cost price or Hourly rate'!$B$26</f>
        <v>700</v>
      </c>
      <c r="F23" s="56">
        <f>'Cost price or Hourly rate'!$B$26</f>
        <v>700</v>
      </c>
      <c r="G23" s="56">
        <f>'Cost price or Hourly rate'!$B$26</f>
        <v>700</v>
      </c>
      <c r="H23" s="109">
        <f>'Cost price or Hourly rate'!$B$26</f>
        <v>700</v>
      </c>
      <c r="I23" s="56">
        <f>'Cost price or Hourly rate'!$B$26</f>
        <v>700</v>
      </c>
      <c r="J23" s="56">
        <f>'Cost price or Hourly rate'!$B$26</f>
        <v>700</v>
      </c>
      <c r="K23" s="109">
        <f>'Cost price or Hourly rate'!$B$26</f>
        <v>700</v>
      </c>
      <c r="L23" s="56">
        <f>'Cost price or Hourly rate'!$B$26</f>
        <v>700</v>
      </c>
      <c r="M23" s="56">
        <f>'Cost price or Hourly rate'!$B$26</f>
        <v>700</v>
      </c>
      <c r="N23" s="109">
        <f>'Cost price or Hourly rate'!D26</f>
        <v>8400</v>
      </c>
      <c r="O23" s="55"/>
    </row>
    <row r="24" spans="1:15">
      <c r="A24" t="str">
        <f>'Cost price or Hourly rate'!A27</f>
        <v>Subscription: Adobe</v>
      </c>
      <c r="B24" s="56">
        <f>'Cost price or Hourly rate'!$B$27</f>
        <v>73.489999999999995</v>
      </c>
      <c r="C24" s="56">
        <f>'Cost price or Hourly rate'!$B$27</f>
        <v>73.489999999999995</v>
      </c>
      <c r="D24" s="56">
        <f>'Cost price or Hourly rate'!$B$27</f>
        <v>73.489999999999995</v>
      </c>
      <c r="E24" s="109">
        <f>'Cost price or Hourly rate'!$B$27</f>
        <v>73.489999999999995</v>
      </c>
      <c r="F24" s="56">
        <f>'Cost price or Hourly rate'!$B$27</f>
        <v>73.489999999999995</v>
      </c>
      <c r="G24" s="56">
        <f>'Cost price or Hourly rate'!$B$27</f>
        <v>73.489999999999995</v>
      </c>
      <c r="H24" s="109">
        <f>'Cost price or Hourly rate'!$B$27</f>
        <v>73.489999999999995</v>
      </c>
      <c r="I24" s="56">
        <f>'Cost price or Hourly rate'!$B$27</f>
        <v>73.489999999999995</v>
      </c>
      <c r="J24" s="56">
        <f>'Cost price or Hourly rate'!$B$27</f>
        <v>73.489999999999995</v>
      </c>
      <c r="K24" s="109">
        <f>'Cost price or Hourly rate'!$B$27</f>
        <v>73.489999999999995</v>
      </c>
      <c r="L24" s="56">
        <f>'Cost price or Hourly rate'!$B$27</f>
        <v>73.489999999999995</v>
      </c>
      <c r="M24" s="56">
        <f>'Cost price or Hourly rate'!$B$27</f>
        <v>73.489999999999995</v>
      </c>
      <c r="N24" s="109">
        <f>'Cost price or Hourly rate'!D27</f>
        <v>881.87999999999988</v>
      </c>
      <c r="O24" s="55"/>
    </row>
    <row r="25" spans="1:15">
      <c r="A25" t="str">
        <f>'Cost price or Hourly rate'!A28</f>
        <v>Subscription: Zoom</v>
      </c>
      <c r="B25" s="56">
        <f>'Cost price or Hourly rate'!$B$28</f>
        <v>13.99</v>
      </c>
      <c r="C25" s="56">
        <f>'Cost price or Hourly rate'!$B$28</f>
        <v>13.99</v>
      </c>
      <c r="D25" s="56">
        <f>'Cost price or Hourly rate'!$B$28</f>
        <v>13.99</v>
      </c>
      <c r="E25" s="109">
        <f>'Cost price or Hourly rate'!$B$28</f>
        <v>13.99</v>
      </c>
      <c r="F25" s="56">
        <f>'Cost price or Hourly rate'!$B$28</f>
        <v>13.99</v>
      </c>
      <c r="G25" s="56">
        <f>'Cost price or Hourly rate'!$B$28</f>
        <v>13.99</v>
      </c>
      <c r="H25" s="109">
        <f>'Cost price or Hourly rate'!$B$28</f>
        <v>13.99</v>
      </c>
      <c r="I25" s="56">
        <f>'Cost price or Hourly rate'!$B$28</f>
        <v>13.99</v>
      </c>
      <c r="J25" s="56">
        <f>'Cost price or Hourly rate'!$B$28</f>
        <v>13.99</v>
      </c>
      <c r="K25" s="109">
        <f>'Cost price or Hourly rate'!$B$28</f>
        <v>13.99</v>
      </c>
      <c r="L25" s="56">
        <f>'Cost price or Hourly rate'!$B$28</f>
        <v>13.99</v>
      </c>
      <c r="M25" s="56">
        <f>'Cost price or Hourly rate'!$B$28</f>
        <v>13.99</v>
      </c>
      <c r="N25" s="109">
        <f>'Cost price or Hourly rate'!D28</f>
        <v>167.88</v>
      </c>
      <c r="O25" s="55"/>
    </row>
    <row r="26" spans="1:15">
      <c r="A26" t="str">
        <f>'Cost price or Hourly rate'!A29</f>
        <v>Subscription: Landline office</v>
      </c>
      <c r="B26" s="56">
        <f>'Cost price or Hourly rate'!$B$29</f>
        <v>10</v>
      </c>
      <c r="C26" s="56">
        <f>'Cost price or Hourly rate'!$B$29</f>
        <v>10</v>
      </c>
      <c r="D26" s="56">
        <f>'Cost price or Hourly rate'!$B$29</f>
        <v>10</v>
      </c>
      <c r="E26" s="109">
        <f>'Cost price or Hourly rate'!$B$29</f>
        <v>10</v>
      </c>
      <c r="F26" s="56">
        <f>'Cost price or Hourly rate'!$B$29</f>
        <v>10</v>
      </c>
      <c r="G26" s="56">
        <f>'Cost price or Hourly rate'!$B$29</f>
        <v>10</v>
      </c>
      <c r="H26" s="109">
        <f>'Cost price or Hourly rate'!$B$29</f>
        <v>10</v>
      </c>
      <c r="I26" s="56">
        <f>'Cost price or Hourly rate'!$B$29</f>
        <v>10</v>
      </c>
      <c r="J26" s="56">
        <f>'Cost price or Hourly rate'!$B$29</f>
        <v>10</v>
      </c>
      <c r="K26" s="109">
        <f>'Cost price or Hourly rate'!$B$29</f>
        <v>10</v>
      </c>
      <c r="L26" s="56">
        <f>'Cost price or Hourly rate'!$B$29</f>
        <v>10</v>
      </c>
      <c r="M26" s="56">
        <f>'Cost price or Hourly rate'!$B$29</f>
        <v>10</v>
      </c>
      <c r="N26" s="109">
        <f>'Cost price or Hourly rate'!D29</f>
        <v>120</v>
      </c>
      <c r="O26" s="55"/>
    </row>
    <row r="27" spans="1:15">
      <c r="A27" t="str">
        <f>'Cost price or Hourly rate'!A30</f>
        <v>Energy &amp; Gas</v>
      </c>
      <c r="B27" s="56">
        <f>'Cost price or Hourly rate'!$B$30</f>
        <v>150</v>
      </c>
      <c r="C27" s="56">
        <f>'Cost price or Hourly rate'!$B$30</f>
        <v>150</v>
      </c>
      <c r="D27" s="56">
        <f>'Cost price or Hourly rate'!$B$30</f>
        <v>150</v>
      </c>
      <c r="E27" s="109">
        <f>'Cost price or Hourly rate'!$B$30</f>
        <v>150</v>
      </c>
      <c r="F27" s="56">
        <f>'Cost price or Hourly rate'!$B$30</f>
        <v>150</v>
      </c>
      <c r="G27" s="56">
        <f>'Cost price or Hourly rate'!$B$30</f>
        <v>150</v>
      </c>
      <c r="H27" s="109">
        <f>'Cost price or Hourly rate'!$B$30</f>
        <v>150</v>
      </c>
      <c r="I27" s="56">
        <f>'Cost price or Hourly rate'!$B$30</f>
        <v>150</v>
      </c>
      <c r="J27" s="56">
        <f>'Cost price or Hourly rate'!$B$30</f>
        <v>150</v>
      </c>
      <c r="K27" s="109">
        <f>'Cost price or Hourly rate'!$B$30</f>
        <v>150</v>
      </c>
      <c r="L27" s="56">
        <f>'Cost price or Hourly rate'!$B$30</f>
        <v>150</v>
      </c>
      <c r="M27" s="56">
        <f>'Cost price or Hourly rate'!$B$30</f>
        <v>150</v>
      </c>
      <c r="N27" s="109">
        <f>'Cost price or Hourly rate'!D30</f>
        <v>1800</v>
      </c>
      <c r="O27" s="55"/>
    </row>
    <row r="28" spans="1:15">
      <c r="A28" t="str">
        <f>'Cost price or Hourly rate'!A31</f>
        <v xml:space="preserve">Interest </v>
      </c>
      <c r="B28" s="56">
        <f>'inv+fin. budget'!I51</f>
        <v>124.16666666666667</v>
      </c>
      <c r="C28" s="56">
        <f>'inv+fin. budget'!J51</f>
        <v>120.7175925925926</v>
      </c>
      <c r="D28" s="56">
        <f>'inv+fin. budget'!K51</f>
        <v>117.26851851851852</v>
      </c>
      <c r="E28" s="109">
        <f>'inv+fin. budget'!L51</f>
        <v>113.81944444444446</v>
      </c>
      <c r="F28" s="56">
        <f>'inv+fin. budget'!M51</f>
        <v>110.37037037037038</v>
      </c>
      <c r="G28" s="56">
        <f>'inv+fin. budget'!N51</f>
        <v>106.92129629629632</v>
      </c>
      <c r="H28" s="109">
        <f>'inv+fin. budget'!O51</f>
        <v>103.47222222222224</v>
      </c>
      <c r="I28" s="56">
        <f>'inv+fin. budget'!P51</f>
        <v>100.02314814814817</v>
      </c>
      <c r="J28" s="56">
        <f>'inv+fin. budget'!Q51</f>
        <v>96.574074074074119</v>
      </c>
      <c r="K28" s="109">
        <f>'inv+fin. budget'!R51</f>
        <v>93.125000000000043</v>
      </c>
      <c r="L28" s="56">
        <f>'inv+fin. budget'!S51</f>
        <v>89.675925925925981</v>
      </c>
      <c r="M28" s="56">
        <f>'inv+fin. budget'!T51</f>
        <v>86.226851851851904</v>
      </c>
      <c r="N28" s="109">
        <f>'inv+fin. budget'!V51</f>
        <v>1262.3611111111115</v>
      </c>
      <c r="O28" s="55"/>
    </row>
    <row r="29" spans="1:15">
      <c r="B29" s="56"/>
      <c r="C29" s="56"/>
      <c r="D29" s="56"/>
      <c r="E29" s="109"/>
      <c r="F29" s="56"/>
      <c r="G29" s="56"/>
      <c r="H29" s="109"/>
      <c r="I29" s="56"/>
      <c r="J29" s="56"/>
      <c r="K29" s="109"/>
      <c r="L29" s="56"/>
      <c r="M29" s="110"/>
      <c r="N29" s="56"/>
      <c r="O29" s="55"/>
    </row>
    <row r="30" spans="1:15" ht="15" thickBot="1">
      <c r="A30" s="118" t="s">
        <v>74</v>
      </c>
      <c r="B30" s="119">
        <f>SUM(B21:B28)</f>
        <v>5053.9405142332416</v>
      </c>
      <c r="C30" s="119">
        <f t="shared" ref="C30:N30" si="4">SUM(C21:C28)</f>
        <v>5050.4914401591668</v>
      </c>
      <c r="D30" s="119">
        <f t="shared" si="4"/>
        <v>5047.0423660850929</v>
      </c>
      <c r="E30" s="119">
        <f t="shared" si="4"/>
        <v>5043.593292011019</v>
      </c>
      <c r="F30" s="119">
        <f t="shared" si="4"/>
        <v>5040.1442179369451</v>
      </c>
      <c r="G30" s="119">
        <f t="shared" si="4"/>
        <v>5036.6951438628712</v>
      </c>
      <c r="H30" s="119">
        <f t="shared" si="4"/>
        <v>5033.2460697887973</v>
      </c>
      <c r="I30" s="119">
        <f t="shared" si="4"/>
        <v>5029.7969957147225</v>
      </c>
      <c r="J30" s="119">
        <f t="shared" si="4"/>
        <v>5026.3479216406486</v>
      </c>
      <c r="K30" s="119">
        <f t="shared" si="4"/>
        <v>5022.8988475665747</v>
      </c>
      <c r="L30" s="119">
        <f t="shared" si="4"/>
        <v>5019.4497734925008</v>
      </c>
      <c r="M30" s="119">
        <f t="shared" si="4"/>
        <v>5016.0006994184268</v>
      </c>
      <c r="N30" s="119">
        <f t="shared" si="4"/>
        <v>60419.647281910002</v>
      </c>
      <c r="O30" s="55"/>
    </row>
    <row r="31" spans="1:15">
      <c r="B31" s="55"/>
      <c r="C31" s="55"/>
      <c r="D31" s="55"/>
      <c r="E31" s="120"/>
      <c r="F31" s="55"/>
      <c r="G31" s="55"/>
      <c r="H31" s="120"/>
      <c r="I31" s="55"/>
      <c r="J31" s="55"/>
      <c r="K31" s="120"/>
      <c r="L31" s="55"/>
      <c r="M31" s="99"/>
      <c r="N31" s="55"/>
      <c r="O31" s="55"/>
    </row>
    <row r="32" spans="1:15">
      <c r="B32" s="55"/>
      <c r="C32" s="55"/>
      <c r="D32" s="55"/>
      <c r="E32" s="120"/>
      <c r="F32" s="55"/>
      <c r="G32" s="55"/>
      <c r="H32" s="120"/>
      <c r="I32" s="55"/>
      <c r="J32" s="55"/>
      <c r="K32" s="120"/>
      <c r="L32" s="55"/>
      <c r="M32" s="99"/>
      <c r="N32" s="55"/>
      <c r="O32" s="55"/>
    </row>
    <row r="33" spans="1:15" ht="15" thickBot="1">
      <c r="B33" s="55"/>
      <c r="C33" s="55"/>
      <c r="D33" s="55"/>
      <c r="E33" s="121"/>
      <c r="F33" s="55"/>
      <c r="G33" s="55"/>
      <c r="H33" s="121"/>
      <c r="I33" s="55"/>
      <c r="J33" s="55"/>
      <c r="K33" s="121"/>
      <c r="L33" s="55"/>
      <c r="M33" s="99"/>
      <c r="N33" s="55"/>
      <c r="O33" s="55"/>
    </row>
    <row r="34" spans="1:15" ht="15" thickBot="1">
      <c r="A34" s="11" t="s">
        <v>197</v>
      </c>
      <c r="B34" s="122">
        <f t="shared" ref="B34:L34" si="5">B17-B30</f>
        <v>-5053.9405142332416</v>
      </c>
      <c r="C34" s="122">
        <f t="shared" si="5"/>
        <v>-3955.5820450264769</v>
      </c>
      <c r="D34" s="122">
        <f t="shared" si="5"/>
        <v>-2602.8458932659933</v>
      </c>
      <c r="E34" s="122">
        <f t="shared" si="5"/>
        <v>329.51583571945048</v>
      </c>
      <c r="F34" s="122">
        <f t="shared" si="5"/>
        <v>878.8505408490937</v>
      </c>
      <c r="G34" s="122">
        <f t="shared" si="5"/>
        <v>1391.0829565160675</v>
      </c>
      <c r="H34" s="122">
        <f t="shared" si="5"/>
        <v>2164.8538398505489</v>
      </c>
      <c r="I34" s="122">
        <f t="shared" si="5"/>
        <v>1888.0399987033807</v>
      </c>
      <c r="J34" s="122">
        <f t="shared" si="5"/>
        <v>2333.4304974487277</v>
      </c>
      <c r="K34" s="122">
        <f t="shared" si="5"/>
        <v>2427.3690803407526</v>
      </c>
      <c r="L34" s="122">
        <f t="shared" si="5"/>
        <v>2095.4335574173547</v>
      </c>
      <c r="M34" s="122">
        <f>M17-M30</f>
        <v>441.12511859018832</v>
      </c>
      <c r="N34" s="122">
        <f>N17-N30</f>
        <v>2337.3329729098768</v>
      </c>
    </row>
    <row r="35" spans="1:15" ht="15" thickBot="1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</row>
    <row r="36" spans="1:15" ht="15" thickBot="1">
      <c r="A36" s="11" t="s">
        <v>198</v>
      </c>
      <c r="B36" s="123">
        <f>N34</f>
        <v>2337.3329729098768</v>
      </c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</row>
    <row r="37" spans="1:15">
      <c r="B37" s="55"/>
    </row>
    <row r="38" spans="1:15">
      <c r="A38" s="4"/>
      <c r="B38" s="69"/>
    </row>
    <row r="39" spans="1:15" ht="15" thickBot="1"/>
    <row r="40" spans="1:15" ht="15" thickBot="1">
      <c r="A40" s="11" t="s">
        <v>199</v>
      </c>
      <c r="B40" s="34">
        <v>0.25</v>
      </c>
      <c r="C40" s="1" t="s">
        <v>134</v>
      </c>
      <c r="D40" s="1" t="s">
        <v>12</v>
      </c>
    </row>
    <row r="41" spans="1:15">
      <c r="A41" t="s">
        <v>200</v>
      </c>
      <c r="B41" s="55">
        <f>B36*B40</f>
        <v>584.33324322746921</v>
      </c>
      <c r="C41" s="158" t="s">
        <v>201</v>
      </c>
    </row>
    <row r="42" spans="1:15">
      <c r="B42" s="55"/>
    </row>
    <row r="43" spans="1:15">
      <c r="A43" t="s">
        <v>202</v>
      </c>
      <c r="B43" s="56">
        <f>B36-B41</f>
        <v>1752.9997296824076</v>
      </c>
    </row>
    <row r="44" spans="1:15">
      <c r="B44" s="55"/>
    </row>
    <row r="45" spans="1:15">
      <c r="B45" s="55"/>
    </row>
    <row r="46" spans="1:15">
      <c r="B46" s="55"/>
    </row>
  </sheetData>
  <mergeCells count="1">
    <mergeCell ref="B1:N1"/>
  </mergeCells>
  <hyperlinks>
    <hyperlink ref="C41" r:id="rId1" xr:uid="{E9F15DCF-E7BB-483B-8F55-CA35587E733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EDB7-247E-9A4F-BBDD-7CB752C19EDF}">
  <dimension ref="A1:I48"/>
  <sheetViews>
    <sheetView topLeftCell="A3" zoomScale="115" zoomScaleNormal="115" workbookViewId="0">
      <selection activeCell="C32" sqref="C32"/>
    </sheetView>
  </sheetViews>
  <sheetFormatPr defaultColWidth="11.44140625" defaultRowHeight="14.4"/>
  <cols>
    <col min="1" max="1" width="27.44140625" bestFit="1" customWidth="1"/>
    <col min="2" max="2" width="15.44140625" customWidth="1"/>
    <col min="3" max="3" width="16" customWidth="1"/>
    <col min="4" max="4" width="18" customWidth="1"/>
    <col min="5" max="5" width="16.44140625" customWidth="1"/>
    <col min="6" max="6" width="13.44140625" customWidth="1"/>
  </cols>
  <sheetData>
    <row r="1" spans="1:7" ht="21.6" thickBot="1">
      <c r="A1" s="3" t="s">
        <v>203</v>
      </c>
      <c r="B1" s="165" t="s">
        <v>204</v>
      </c>
      <c r="C1" s="166"/>
      <c r="D1" s="166"/>
      <c r="E1" s="166"/>
      <c r="F1" s="166"/>
    </row>
    <row r="2" spans="1:7">
      <c r="B2" s="17" t="s">
        <v>181</v>
      </c>
      <c r="C2" s="17" t="s">
        <v>182</v>
      </c>
      <c r="D2" s="17" t="s">
        <v>183</v>
      </c>
      <c r="E2" s="17" t="s">
        <v>184</v>
      </c>
      <c r="F2" s="124"/>
      <c r="G2" s="1" t="s">
        <v>12</v>
      </c>
    </row>
    <row r="3" spans="1:7">
      <c r="A3" s="40" t="s">
        <v>205</v>
      </c>
      <c r="B3" s="38">
        <f>Balances!B16</f>
        <v>69784.17</v>
      </c>
      <c r="C3" s="125">
        <f>B27</f>
        <v>44490.635350413118</v>
      </c>
      <c r="D3" s="125">
        <f>C27</f>
        <v>32077.794351793025</v>
      </c>
      <c r="E3" s="126">
        <f>D27</f>
        <v>34186.03721470281</v>
      </c>
      <c r="F3" s="41"/>
      <c r="G3" s="1"/>
    </row>
    <row r="4" spans="1:7">
      <c r="A4" s="104" t="s">
        <v>206</v>
      </c>
      <c r="B4" s="127"/>
      <c r="C4" s="127"/>
      <c r="D4" s="127"/>
      <c r="E4" s="128"/>
      <c r="F4" s="129"/>
    </row>
    <row r="5" spans="1:7">
      <c r="A5" t="str">
        <f>'Cost price or Hourly rate'!A61</f>
        <v xml:space="preserve">PR Specialist </v>
      </c>
      <c r="B5" s="130">
        <f>('P&amp;L'!B5+'P&amp;L'!C5)*Calculation!B2</f>
        <v>955.98511091805551</v>
      </c>
      <c r="C5" s="130">
        <f>('P&amp;L'!D5+'P&amp;L'!E5+'P&amp;L'!F5)*Calculation!B2</f>
        <v>12523.404953026527</v>
      </c>
      <c r="D5" s="130">
        <f>('P&amp;L'!G5+'P&amp;L'!H5+'P&amp;L'!I5)*Calculation!B2</f>
        <v>20075.687329279164</v>
      </c>
      <c r="E5" s="110">
        <f>('P&amp;L'!J5+'P&amp;L'!K5+'P&amp;L'!L5)*Calculation!B2</f>
        <v>26289.590550246525</v>
      </c>
      <c r="F5" s="55"/>
      <c r="G5" t="s">
        <v>207</v>
      </c>
    </row>
    <row r="6" spans="1:7">
      <c r="A6" t="str">
        <f>'Cost price or Hourly rate'!A62</f>
        <v>Designer</v>
      </c>
      <c r="B6" s="130">
        <f>('P&amp;L'!B6+'P&amp;L'!C6)*Calculation!B2</f>
        <v>1526.3772062388889</v>
      </c>
      <c r="C6" s="130">
        <f>('P&amp;L'!D6+'P&amp;L'!E6+'P&amp;L'!F6)*Calculation!B2</f>
        <v>18825.318876946294</v>
      </c>
      <c r="D6" s="130">
        <f>('P&amp;L'!G6+'P&amp;L'!H6+'P&amp;L'!I6)*Calculation!B2</f>
        <v>23404.450495662961</v>
      </c>
      <c r="E6" s="110">
        <f>('P&amp;L'!J6+'P&amp;L'!K6+'P&amp;L'!L6)*Calculation!B2</f>
        <v>27780.065153547774</v>
      </c>
      <c r="F6" s="55"/>
      <c r="G6" t="s">
        <v>207</v>
      </c>
    </row>
    <row r="7" spans="1:7">
      <c r="A7" t="str">
        <f>'Cost price or Hourly rate'!A63</f>
        <v>Social Media Manager</v>
      </c>
      <c r="B7" s="130">
        <f>('P&amp;L'!B7+'P&amp;L'!C7)*Calculation!B2</f>
        <v>2154.5789712299998</v>
      </c>
      <c r="C7" s="130">
        <f>('P&amp;L'!D7+'P&amp;L'!E7+'P&amp;L'!F7)*Calculation!B2</f>
        <v>26824.508191813497</v>
      </c>
      <c r="D7" s="130">
        <f>('P&amp;L'!G7+'P&amp;L'!H7+'P&amp;L'!I7)*Calculation!B2</f>
        <v>43522.495218845994</v>
      </c>
      <c r="E7" s="110">
        <f>('P&amp;L'!J7+'P&amp;L'!K7+'P&amp;L'!L7)*Calculation!B2</f>
        <v>38782.421482139995</v>
      </c>
      <c r="G7" t="s">
        <v>207</v>
      </c>
    </row>
    <row r="8" spans="1:7">
      <c r="A8" t="s">
        <v>208</v>
      </c>
      <c r="B8" s="130">
        <f>'inv+fin. budget'!B13</f>
        <v>1625.4911570247932</v>
      </c>
      <c r="C8" s="56"/>
      <c r="D8" s="133"/>
      <c r="E8" s="133"/>
      <c r="F8" s="120"/>
    </row>
    <row r="9" spans="1:7">
      <c r="B9" s="130"/>
      <c r="C9" s="130"/>
      <c r="D9" s="130"/>
      <c r="E9" s="110"/>
      <c r="F9" s="55"/>
    </row>
    <row r="10" spans="1:7">
      <c r="A10" s="19" t="s">
        <v>209</v>
      </c>
      <c r="B10" s="131">
        <f>SUM(B5:B9)</f>
        <v>6262.4324454117377</v>
      </c>
      <c r="C10" s="131">
        <f>SUM(C5:C9)</f>
        <v>58173.232021786316</v>
      </c>
      <c r="D10" s="131">
        <f>SUM(D5:D9)</f>
        <v>87002.633043788112</v>
      </c>
      <c r="E10" s="132">
        <f>SUM(E5:E9)</f>
        <v>92852.077185934293</v>
      </c>
      <c r="F10" s="20"/>
    </row>
    <row r="11" spans="1:7">
      <c r="B11" s="130"/>
      <c r="C11" s="130"/>
      <c r="D11" s="130"/>
      <c r="E11" s="110"/>
      <c r="F11" s="55"/>
    </row>
    <row r="12" spans="1:7">
      <c r="A12" s="104" t="s">
        <v>210</v>
      </c>
      <c r="B12" s="127"/>
      <c r="C12" s="127"/>
      <c r="D12" s="127"/>
      <c r="E12" s="128"/>
      <c r="F12" s="129"/>
    </row>
    <row r="13" spans="1:7">
      <c r="A13" t="s">
        <v>211</v>
      </c>
      <c r="B13" s="130">
        <f>('P&amp;L'!B15+'P&amp;L'!C15+'P&amp;L'!D15)*Calculation!B2</f>
        <v>10705.795250554165</v>
      </c>
      <c r="C13" s="130">
        <f>('P&amp;L'!E15+'P&amp;L'!F15+'P&amp;L'!G15)*Calculation!B2</f>
        <v>53602.643010358748</v>
      </c>
      <c r="D13" s="130">
        <f>('P&amp;L'!H15+'P&amp;L'!I15+'P&amp;L'!J15)*Calculation!B2</f>
        <v>64964.038852519167</v>
      </c>
      <c r="E13" s="110">
        <f>('P&amp;L'!K15+'P&amp;L'!L15+'P&amp;L'!M15)*Calculation!B2</f>
        <v>60567.388157398047</v>
      </c>
      <c r="F13" s="55"/>
      <c r="G13" t="s">
        <v>212</v>
      </c>
    </row>
    <row r="14" spans="1:7">
      <c r="A14" t="str">
        <f>'P&amp;L'!A22</f>
        <v>Salaries</v>
      </c>
      <c r="B14" s="130">
        <f>'P&amp;L'!B22+'P&amp;L'!C22+'P&amp;L'!D22</f>
        <v>11400</v>
      </c>
      <c r="C14" s="130">
        <f>'P&amp;L'!E22+'P&amp;L'!F22+'P&amp;L'!G22</f>
        <v>11400</v>
      </c>
      <c r="D14" s="130">
        <f>'P&amp;L'!H22+'P&amp;L'!I22+'P&amp;L'!J22</f>
        <v>11400</v>
      </c>
      <c r="E14" s="110">
        <f>'P&amp;L'!K22+'P&amp;L'!L22+'P&amp;L'!M22</f>
        <v>11400</v>
      </c>
      <c r="G14" t="s">
        <v>213</v>
      </c>
    </row>
    <row r="15" spans="1:7">
      <c r="A15" t="str">
        <f>'P&amp;L'!A23</f>
        <v>Office Rent</v>
      </c>
      <c r="B15" s="130">
        <f>('P&amp;L'!B23+'P&amp;L'!C23+'P&amp;L'!D23)*Calculation!B2</f>
        <v>2541</v>
      </c>
      <c r="C15" s="130">
        <f>('P&amp;L'!E23+'P&amp;L'!F23+'P&amp;L'!G23)*Calculation!B2</f>
        <v>2541</v>
      </c>
      <c r="D15" s="130">
        <f>('P&amp;L'!H23+'P&amp;L'!I23+'P&amp;L'!J23)*Calculation!B2</f>
        <v>2541</v>
      </c>
      <c r="E15" s="110">
        <f>('P&amp;L'!K23+'P&amp;L'!L23+'P&amp;L'!M23)*Calculation!B2</f>
        <v>2541</v>
      </c>
      <c r="F15" s="55"/>
      <c r="G15" t="s">
        <v>212</v>
      </c>
    </row>
    <row r="16" spans="1:7">
      <c r="A16" t="str">
        <f>'P&amp;L'!A24</f>
        <v>Subscription: Adobe</v>
      </c>
      <c r="B16" s="130">
        <f>('P&amp;L'!B24+'P&amp;L'!C24+'P&amp;L'!D24)*Calculation!B2</f>
        <v>266.76869999999997</v>
      </c>
      <c r="C16" s="130">
        <f>('P&amp;L'!E24+'P&amp;L'!F24+'P&amp;L'!G24)*Calculation!B2</f>
        <v>266.76869999999997</v>
      </c>
      <c r="D16" s="130">
        <f>('P&amp;L'!H24+'P&amp;L'!I24+'P&amp;L'!J24)*Calculation!B2</f>
        <v>266.76869999999997</v>
      </c>
      <c r="E16" s="110">
        <f>('P&amp;L'!K24+'P&amp;L'!L24+'P&amp;L'!M24)*Calculation!B2</f>
        <v>266.76869999999997</v>
      </c>
      <c r="F16" s="55"/>
      <c r="G16" t="s">
        <v>212</v>
      </c>
    </row>
    <row r="17" spans="1:9">
      <c r="A17" t="str">
        <f>'P&amp;L'!A25</f>
        <v>Subscription: Zoom</v>
      </c>
      <c r="B17" s="130">
        <f>('P&amp;L'!B25+'P&amp;L'!C25+'P&amp;L'!D25)*Calculation!B2</f>
        <v>50.783699999999996</v>
      </c>
      <c r="C17" s="130">
        <f>('P&amp;L'!E25+'P&amp;L'!F25+'P&amp;L'!G25)*Calculation!B2</f>
        <v>50.783699999999996</v>
      </c>
      <c r="D17" s="130">
        <f>('P&amp;L'!H25+'P&amp;L'!I25+'P&amp;L'!J25)*Calculation!B2</f>
        <v>50.783699999999996</v>
      </c>
      <c r="E17" s="110">
        <f>('P&amp;L'!K25+'P&amp;L'!L25+'P&amp;L'!M25)*Calculation!B2</f>
        <v>50.783699999999996</v>
      </c>
      <c r="F17" s="55"/>
      <c r="G17" t="s">
        <v>212</v>
      </c>
    </row>
    <row r="18" spans="1:9">
      <c r="A18" t="str">
        <f>'P&amp;L'!A26</f>
        <v>Subscription: Landline office</v>
      </c>
      <c r="B18" s="130">
        <f>('P&amp;L'!B26+'P&amp;L'!C26+'P&amp;L'!D26)*Calculation!B2</f>
        <v>36.299999999999997</v>
      </c>
      <c r="C18" s="130">
        <f>('P&amp;L'!E26+'P&amp;L'!F26+'P&amp;L'!G26)*Calculation!B2</f>
        <v>36.299999999999997</v>
      </c>
      <c r="D18" s="130">
        <f>('P&amp;L'!H26+'P&amp;L'!I26+'P&amp;L'!J26)*Calculation!B2</f>
        <v>36.299999999999997</v>
      </c>
      <c r="E18" s="110">
        <f>('P&amp;L'!K26+'P&amp;L'!L26+'P&amp;L'!M26)*Calculation!B2</f>
        <v>36.299999999999997</v>
      </c>
      <c r="F18" s="55"/>
      <c r="G18" t="s">
        <v>212</v>
      </c>
    </row>
    <row r="19" spans="1:9">
      <c r="A19" t="str">
        <f>'P&amp;L'!A27</f>
        <v>Energy &amp; Gas</v>
      </c>
      <c r="B19" s="130">
        <f>('P&amp;L'!B27+'P&amp;L'!C27+'P&amp;L'!D27)*Calculation!B2</f>
        <v>544.5</v>
      </c>
      <c r="C19" s="130">
        <f>('P&amp;L'!E27+'P&amp;L'!F27+'P&amp;L'!G27)*Calculation!B2</f>
        <v>544.5</v>
      </c>
      <c r="D19" s="130">
        <f>('P&amp;L'!H27+'P&amp;L'!I27+'P&amp;L'!J27)*Calculation!B2</f>
        <v>544.5</v>
      </c>
      <c r="E19" s="110">
        <f>('P&amp;L'!K27+'P&amp;L'!L27+'P&amp;L'!M27)*Calculation!B2</f>
        <v>544.5</v>
      </c>
      <c r="F19" s="55"/>
      <c r="G19" t="s">
        <v>212</v>
      </c>
    </row>
    <row r="20" spans="1:9">
      <c r="A20" t="str">
        <f>'P&amp;L'!A28</f>
        <v xml:space="preserve">Interest </v>
      </c>
      <c r="B20" s="130">
        <f>'P&amp;L'!B28+'P&amp;L'!C28+'P&amp;L'!D28</f>
        <v>362.15277777777777</v>
      </c>
      <c r="C20" s="130">
        <f>'P&amp;L'!E28+'P&amp;L'!F28+'P&amp;L'!G28</f>
        <v>331.11111111111114</v>
      </c>
      <c r="D20" s="130">
        <f>'P&amp;L'!H28+'P&amp;L'!I28+'P&amp;L'!J28</f>
        <v>300.06944444444451</v>
      </c>
      <c r="E20" s="110">
        <f>'P&amp;L'!K28+'P&amp;L'!L28+'P&amp;L'!M28</f>
        <v>269.02777777777794</v>
      </c>
      <c r="F20" s="55"/>
      <c r="G20" t="s">
        <v>213</v>
      </c>
    </row>
    <row r="21" spans="1:9">
      <c r="A21" t="s">
        <v>104</v>
      </c>
      <c r="B21" s="130">
        <f>'inv+fin. budget'!I50+'inv+fin. budget'!J50+'inv+fin. budget'!K50</f>
        <v>1666.6666666666665</v>
      </c>
      <c r="C21" s="130">
        <f>('inv+fin. budget'!L50+'inv+fin. budget'!M50+'inv+fin. budget'!N50)</f>
        <v>1666.6666666666665</v>
      </c>
      <c r="D21" s="130">
        <f>('inv+fin. budget'!O50+'inv+fin. budget'!P50+'inv+fin. budget'!Q50)</f>
        <v>1666.6666666666665</v>
      </c>
      <c r="E21" s="110">
        <f>('inv+fin. budget'!R50+'inv+fin. budget'!S50+'inv+fin. budget'!T50)</f>
        <v>1666.6666666666665</v>
      </c>
      <c r="F21" s="55"/>
      <c r="G21" t="s">
        <v>213</v>
      </c>
    </row>
    <row r="22" spans="1:9">
      <c r="A22" t="s">
        <v>214</v>
      </c>
      <c r="B22" s="130">
        <f>'inv+fin. budget'!E20</f>
        <v>3982</v>
      </c>
      <c r="C22" s="130"/>
      <c r="D22" s="130"/>
      <c r="E22" s="110"/>
      <c r="F22" s="55"/>
      <c r="G22" t="s">
        <v>213</v>
      </c>
    </row>
    <row r="23" spans="1:9">
      <c r="A23" t="s">
        <v>215</v>
      </c>
      <c r="B23" s="133"/>
      <c r="C23" s="130">
        <f>B34</f>
        <v>146.29983226987588</v>
      </c>
      <c r="D23" s="130">
        <f>C34</f>
        <v>3124.2628172480436</v>
      </c>
      <c r="E23" s="110">
        <f>D34</f>
        <v>3912.9878178608342</v>
      </c>
      <c r="F23" s="55"/>
    </row>
    <row r="24" spans="1:9">
      <c r="B24" s="130"/>
      <c r="C24" s="130"/>
      <c r="D24" s="130"/>
      <c r="E24" s="110"/>
      <c r="F24" s="55"/>
    </row>
    <row r="25" spans="1:9">
      <c r="B25" s="130"/>
      <c r="C25" s="130"/>
      <c r="D25" s="130"/>
      <c r="E25" s="110"/>
      <c r="F25" s="55"/>
    </row>
    <row r="26" spans="1:9">
      <c r="A26" s="19" t="s">
        <v>216</v>
      </c>
      <c r="B26" s="131">
        <f>SUM(B13:B25)</f>
        <v>31555.96709499861</v>
      </c>
      <c r="C26" s="131">
        <f>SUM(C13:C25)</f>
        <v>70586.073020406402</v>
      </c>
      <c r="D26" s="131">
        <f>SUM(D13:D25)</f>
        <v>84894.390180878327</v>
      </c>
      <c r="E26" s="131">
        <f>SUM(E13:E25)</f>
        <v>81255.422819703337</v>
      </c>
      <c r="F26" s="12"/>
    </row>
    <row r="27" spans="1:9">
      <c r="A27" s="39" t="s">
        <v>217</v>
      </c>
      <c r="B27" s="134">
        <f>B3+B10-B26</f>
        <v>44490.635350413118</v>
      </c>
      <c r="C27" s="134">
        <f>C3+C10-C26</f>
        <v>32077.794351793025</v>
      </c>
      <c r="D27" s="134">
        <f>D3+D10-D26</f>
        <v>34186.03721470281</v>
      </c>
      <c r="E27" s="134">
        <f>E3+E10-E26</f>
        <v>45782.691580933766</v>
      </c>
      <c r="F27" s="135"/>
      <c r="G27" s="1"/>
      <c r="I27" s="37"/>
    </row>
    <row r="28" spans="1:9">
      <c r="B28" s="136"/>
      <c r="C28" s="136"/>
      <c r="D28" s="136"/>
      <c r="E28" s="136"/>
      <c r="F28" s="55"/>
    </row>
    <row r="29" spans="1:9">
      <c r="A29" s="1"/>
      <c r="B29" s="56"/>
      <c r="C29" s="56"/>
      <c r="D29" s="56"/>
      <c r="E29" s="56"/>
      <c r="F29" s="18"/>
    </row>
    <row r="30" spans="1:9" ht="15" thickBot="1">
      <c r="B30" s="56"/>
      <c r="C30" s="56"/>
      <c r="D30" s="56"/>
      <c r="E30" s="56"/>
      <c r="F30" s="55"/>
    </row>
    <row r="31" spans="1:9" ht="15" thickBot="1">
      <c r="A31" s="21" t="s">
        <v>212</v>
      </c>
      <c r="B31" s="142" t="s">
        <v>181</v>
      </c>
      <c r="C31" s="142" t="s">
        <v>182</v>
      </c>
      <c r="D31" s="142" t="s">
        <v>183</v>
      </c>
      <c r="E31" s="142" t="s">
        <v>184</v>
      </c>
      <c r="F31" s="137"/>
    </row>
    <row r="32" spans="1:9">
      <c r="A32" t="s">
        <v>218</v>
      </c>
      <c r="B32" s="110">
        <f>('P&amp;L'!B9+'P&amp;L'!C9+'P&amp;L'!D9)*Calculation!B4</f>
        <v>2601.2428129445657</v>
      </c>
      <c r="C32" s="130">
        <f>('P&amp;L'!E9+'P&amp;L'!F9+'P&amp;L'!G9)*Calculation!B4</f>
        <v>13024.113260368156</v>
      </c>
      <c r="D32" s="130">
        <f>('P&amp;L'!H9+'P&amp;L'!I9+'P&amp;L'!J9)*Calculation!B4</f>
        <v>15784.650762512922</v>
      </c>
      <c r="E32" s="110">
        <f>('P&amp;L'!K9+'P&amp;L'!L9+'P&amp;L'!M9)*Calculation!B4</f>
        <v>14716.373651466965</v>
      </c>
      <c r="F32" s="55"/>
    </row>
    <row r="33" spans="1:6">
      <c r="A33" t="s">
        <v>219</v>
      </c>
      <c r="B33" s="110">
        <f>(B13+B16+B17+B18+B19+B15)/Calculation!B2*Calculation!B4</f>
        <v>2454.9429806746898</v>
      </c>
      <c r="C33" s="130">
        <f>(C13+C16+C17+C18+C19+C15)/Calculation!B2*Calculation!B4</f>
        <v>9899.8504431201127</v>
      </c>
      <c r="D33" s="130">
        <f>(D13+D16+D17+D18+D19+D15)/Calculation!B2*Calculation!B4</f>
        <v>11871.662944652087</v>
      </c>
      <c r="E33" s="110">
        <f>(E13+E16+E17+E18+E19+E15)/Calculation!B2*Calculation!B4</f>
        <v>11108.607865333546</v>
      </c>
      <c r="F33" s="55"/>
    </row>
    <row r="34" spans="1:6">
      <c r="A34" t="s">
        <v>220</v>
      </c>
      <c r="B34" s="110">
        <f>B32-B33</f>
        <v>146.29983226987588</v>
      </c>
      <c r="C34" s="130">
        <f>C32-C33</f>
        <v>3124.2628172480436</v>
      </c>
      <c r="D34" s="130">
        <f>D32-D33</f>
        <v>3912.9878178608342</v>
      </c>
      <c r="E34" s="130">
        <f>E32-E33</f>
        <v>3607.7657861334192</v>
      </c>
      <c r="F34" s="55"/>
    </row>
    <row r="35" spans="1:6">
      <c r="B35" s="99"/>
      <c r="C35" s="138"/>
      <c r="D35" s="138"/>
      <c r="E35" s="133"/>
      <c r="F35" s="55"/>
    </row>
    <row r="36" spans="1:6">
      <c r="B36" s="55"/>
      <c r="C36" s="55"/>
      <c r="D36" s="55"/>
      <c r="E36" s="55"/>
    </row>
    <row r="37" spans="1:6">
      <c r="B37" s="55"/>
      <c r="C37" s="55"/>
      <c r="D37" s="55"/>
      <c r="E37" s="55"/>
    </row>
    <row r="38" spans="1:6">
      <c r="B38" s="55"/>
      <c r="C38" s="55"/>
      <c r="D38" s="55"/>
      <c r="E38" s="55"/>
    </row>
    <row r="39" spans="1:6">
      <c r="B39" s="55"/>
      <c r="C39" s="55"/>
      <c r="D39" s="55"/>
      <c r="E39" s="55"/>
    </row>
    <row r="40" spans="1:6">
      <c r="B40" s="55"/>
      <c r="C40" s="55"/>
      <c r="D40" s="55"/>
      <c r="E40" s="55"/>
    </row>
    <row r="41" spans="1:6">
      <c r="B41" s="55"/>
      <c r="C41" s="55"/>
      <c r="D41" s="55"/>
      <c r="E41" s="55"/>
    </row>
    <row r="42" spans="1:6">
      <c r="B42" s="55"/>
      <c r="C42" s="55"/>
      <c r="D42" s="55"/>
      <c r="E42" s="55"/>
    </row>
    <row r="43" spans="1:6">
      <c r="B43" s="55"/>
      <c r="C43" s="55"/>
      <c r="D43" s="55"/>
      <c r="E43" s="55"/>
    </row>
    <row r="44" spans="1:6">
      <c r="B44" s="55"/>
      <c r="C44" s="55"/>
      <c r="D44" s="55"/>
      <c r="E44" s="55"/>
    </row>
    <row r="45" spans="1:6">
      <c r="B45" s="55"/>
      <c r="C45" s="55"/>
      <c r="D45" s="55"/>
      <c r="E45" s="55"/>
    </row>
    <row r="46" spans="1:6">
      <c r="B46" s="55"/>
      <c r="C46" s="55"/>
      <c r="D46" s="55"/>
      <c r="E46" s="55"/>
    </row>
    <row r="47" spans="1:6">
      <c r="B47" s="55"/>
      <c r="C47" s="55"/>
      <c r="D47" s="55"/>
      <c r="E47" s="55"/>
    </row>
    <row r="48" spans="1:6">
      <c r="B48" s="55"/>
      <c r="C48" s="55"/>
      <c r="D48" s="55"/>
      <c r="E48" s="55"/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1F97-0E19-C147-88E8-7BB24CE98DE6}">
  <dimension ref="A1:F21"/>
  <sheetViews>
    <sheetView zoomScale="85" zoomScaleNormal="85" workbookViewId="0">
      <selection activeCell="E15" sqref="E15"/>
    </sheetView>
  </sheetViews>
  <sheetFormatPr defaultColWidth="11.44140625" defaultRowHeight="14.4"/>
  <cols>
    <col min="1" max="1" width="43.6640625" customWidth="1"/>
    <col min="2" max="2" width="23" customWidth="1"/>
    <col min="3" max="3" width="15.77734375" customWidth="1"/>
    <col min="5" max="5" width="90.33203125" customWidth="1"/>
    <col min="7" max="7" width="17.109375" customWidth="1"/>
    <col min="8" max="8" width="16.109375" customWidth="1"/>
  </cols>
  <sheetData>
    <row r="1" spans="1:6" ht="21">
      <c r="A1" s="3" t="s">
        <v>221</v>
      </c>
    </row>
    <row r="2" spans="1:6">
      <c r="A2" s="1"/>
      <c r="B2" s="1"/>
    </row>
    <row r="3" spans="1:6" s="48" customFormat="1">
      <c r="A3" s="9" t="s">
        <v>222</v>
      </c>
      <c r="B3" s="14" t="s">
        <v>223</v>
      </c>
      <c r="C3" s="14" t="s">
        <v>224</v>
      </c>
      <c r="D3" s="14" t="s">
        <v>225</v>
      </c>
      <c r="E3" s="13" t="s">
        <v>12</v>
      </c>
      <c r="F3" s="13"/>
    </row>
    <row r="4" spans="1:6">
      <c r="A4" s="139" t="s">
        <v>226</v>
      </c>
      <c r="B4" s="95">
        <f>Balances!E6/(Balances!E21+Balances!E14+Balances!E18)</f>
        <v>0.53416728176838502</v>
      </c>
      <c r="C4" s="95">
        <f>Balances!F33/(Balances!E46+Balances!E39+Balances!E45)</f>
        <v>0.62215842348369743</v>
      </c>
      <c r="D4" s="143" t="s">
        <v>227</v>
      </c>
      <c r="E4" t="s">
        <v>250</v>
      </c>
    </row>
    <row r="5" spans="1:6">
      <c r="A5" s="139" t="s">
        <v>228</v>
      </c>
      <c r="B5" s="155">
        <f>(Balances!B12+Balances!B13+Balances!B16)/Balances!E18</f>
        <v>18.220502592243609</v>
      </c>
      <c r="C5" s="155">
        <f>(Balances!B37+Balances!B42)/Balances!E45</f>
        <v>19.095923489544532</v>
      </c>
      <c r="D5" s="162" t="s">
        <v>229</v>
      </c>
      <c r="E5" t="s">
        <v>251</v>
      </c>
    </row>
    <row r="6" spans="1:6">
      <c r="A6" s="139" t="s">
        <v>230</v>
      </c>
      <c r="B6" s="155">
        <f>B5</f>
        <v>18.220502592243609</v>
      </c>
      <c r="C6" s="155">
        <f>C5</f>
        <v>19.095923489544532</v>
      </c>
      <c r="D6" s="143" t="s">
        <v>231</v>
      </c>
      <c r="E6" t="s">
        <v>249</v>
      </c>
    </row>
    <row r="7" spans="1:6">
      <c r="A7" s="139" t="s">
        <v>232</v>
      </c>
      <c r="B7" s="45">
        <f>(Balances!B12+Balances!B13+Balances!B16)-Balances!E18</f>
        <v>68572.041322314049</v>
      </c>
      <c r="C7" s="156">
        <f>(Balances!B37+Balances!B42)-Balances!E45</f>
        <v>65285.853634066836</v>
      </c>
      <c r="D7" s="143" t="s">
        <v>233</v>
      </c>
      <c r="E7" t="s">
        <v>252</v>
      </c>
    </row>
    <row r="8" spans="1:6" ht="22.5" customHeight="1">
      <c r="A8" s="139" t="s">
        <v>234</v>
      </c>
      <c r="B8" s="169">
        <f>'Cost price or Hourly rate'!L61</f>
        <v>431.50696624193733</v>
      </c>
      <c r="C8" s="169"/>
      <c r="D8" s="143"/>
    </row>
    <row r="9" spans="1:6">
      <c r="A9" s="139" t="s">
        <v>235</v>
      </c>
      <c r="B9" s="169">
        <f>'Cost price or Hourly rate'!L62</f>
        <v>354.3890733449856</v>
      </c>
      <c r="C9" s="169"/>
      <c r="D9" s="143"/>
    </row>
    <row r="10" spans="1:6">
      <c r="A10" s="139" t="s">
        <v>236</v>
      </c>
      <c r="B10" s="168">
        <f>'Cost price or Hourly rate'!L63</f>
        <v>696.5748539195331</v>
      </c>
      <c r="C10" s="168"/>
      <c r="D10" s="143"/>
    </row>
    <row r="11" spans="1:6">
      <c r="A11" s="139" t="s">
        <v>237</v>
      </c>
      <c r="B11" s="167">
        <f>'P&amp;L'!B43/(Balances!E6+Balances!F33/2)</f>
        <v>2.1025105785492743E-2</v>
      </c>
      <c r="C11" s="167"/>
      <c r="D11" s="163">
        <v>0.08</v>
      </c>
      <c r="E11" t="s">
        <v>254</v>
      </c>
    </row>
    <row r="12" spans="1:6">
      <c r="A12" s="139" t="s">
        <v>238</v>
      </c>
      <c r="B12" s="167">
        <f>'inv+fin. budget'!V51/(Balances!E14+Balances!E18+Balances!E39+Balances!E45/2)</f>
        <v>3.226959108294182E-2</v>
      </c>
      <c r="C12" s="167"/>
      <c r="D12" s="163">
        <v>0.06</v>
      </c>
      <c r="E12" t="s">
        <v>253</v>
      </c>
    </row>
    <row r="13" spans="1:6">
      <c r="A13" s="139"/>
    </row>
    <row r="15" spans="1:6">
      <c r="B15" s="55"/>
    </row>
    <row r="16" spans="1:6">
      <c r="B16" s="55"/>
    </row>
    <row r="17" spans="1:2">
      <c r="A17" s="139"/>
      <c r="B17" s="95"/>
    </row>
    <row r="18" spans="1:2">
      <c r="A18" s="139"/>
      <c r="B18" s="55"/>
    </row>
    <row r="19" spans="1:2">
      <c r="B19" s="95"/>
    </row>
    <row r="21" spans="1:2">
      <c r="A21" s="1"/>
    </row>
  </sheetData>
  <mergeCells count="5">
    <mergeCell ref="B11:C11"/>
    <mergeCell ref="B12:C12"/>
    <mergeCell ref="B10:C10"/>
    <mergeCell ref="B9:C9"/>
    <mergeCell ref="B8:C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3318-DE00-8746-991E-9F2B29703C98}">
  <dimension ref="A1:B11"/>
  <sheetViews>
    <sheetView workbookViewId="0">
      <selection activeCell="B4" sqref="B4"/>
    </sheetView>
  </sheetViews>
  <sheetFormatPr defaultColWidth="11.44140625" defaultRowHeight="14.4"/>
  <cols>
    <col min="1" max="1" width="16" customWidth="1"/>
  </cols>
  <sheetData>
    <row r="1" spans="1:2" ht="21">
      <c r="A1" s="3" t="s">
        <v>239</v>
      </c>
    </row>
    <row r="2" spans="1:2">
      <c r="A2" s="61" t="s">
        <v>240</v>
      </c>
      <c r="B2" s="70">
        <v>1.21</v>
      </c>
    </row>
    <row r="3" spans="1:2">
      <c r="A3" s="61" t="s">
        <v>241</v>
      </c>
      <c r="B3" s="70">
        <v>1.06</v>
      </c>
    </row>
    <row r="4" spans="1:2">
      <c r="A4" s="61" t="s">
        <v>242</v>
      </c>
      <c r="B4" s="70">
        <v>0.21</v>
      </c>
    </row>
    <row r="5" spans="1:2">
      <c r="A5" s="61" t="s">
        <v>243</v>
      </c>
      <c r="B5" s="70">
        <v>0.06</v>
      </c>
    </row>
    <row r="6" spans="1:2">
      <c r="A6" s="61"/>
    </row>
    <row r="7" spans="1:2">
      <c r="A7" s="61" t="s">
        <v>244</v>
      </c>
      <c r="B7">
        <v>0.08</v>
      </c>
    </row>
    <row r="8" spans="1:2">
      <c r="A8" s="61" t="s">
        <v>245</v>
      </c>
      <c r="B8">
        <v>0.16</v>
      </c>
    </row>
    <row r="9" spans="1:2">
      <c r="A9" s="61"/>
    </row>
    <row r="10" spans="1:2">
      <c r="A10" s="61"/>
    </row>
    <row r="11" spans="1:2">
      <c r="A11" t="s">
        <v>149</v>
      </c>
      <c r="B11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B5C990C192E84ABEF0FD33D148F8BD" ma:contentTypeVersion="13" ma:contentTypeDescription="Create a new document." ma:contentTypeScope="" ma:versionID="fcb08321326aea83123bb32bf7c3767f">
  <xsd:schema xmlns:xsd="http://www.w3.org/2001/XMLSchema" xmlns:xs="http://www.w3.org/2001/XMLSchema" xmlns:p="http://schemas.microsoft.com/office/2006/metadata/properties" xmlns:ns3="20b28286-a364-40db-911d-a8f3b976a863" xmlns:ns4="64131032-7d2e-4bda-9662-793777de7e7a" targetNamespace="http://schemas.microsoft.com/office/2006/metadata/properties" ma:root="true" ma:fieldsID="db88a00cf28b8a15e254634e72c51fdf" ns3:_="" ns4:_="">
    <xsd:import namespace="20b28286-a364-40db-911d-a8f3b976a863"/>
    <xsd:import namespace="64131032-7d2e-4bda-9662-793777de7e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28286-a364-40db-911d-a8f3b976a8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31032-7d2e-4bda-9662-793777de7e7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4F278-165B-4609-9687-5660C8C70102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4131032-7d2e-4bda-9662-793777de7e7a"/>
    <ds:schemaRef ds:uri="20b28286-a364-40db-911d-a8f3b976a86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16B9A1B-CFA2-401A-A760-9C4B61AE0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28286-a364-40db-911d-a8f3b976a863"/>
    <ds:schemaRef ds:uri="64131032-7d2e-4bda-9662-793777de7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5581F7-6806-4609-A9E4-10A78E6D3E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Page</vt:lpstr>
      <vt:lpstr>inv+fin. budget</vt:lpstr>
      <vt:lpstr>Balances</vt:lpstr>
      <vt:lpstr>Cost price or Hourly rate</vt:lpstr>
      <vt:lpstr>P&amp;L</vt:lpstr>
      <vt:lpstr>Cash Flow</vt:lpstr>
      <vt:lpstr>Evaluation</vt:lpstr>
      <vt:lpstr>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2022-12-18T22:55:21Z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0x01010065B5C990C192E84ABEF0FD33D148F8BD</vt:lpwstr>
  </property>
</Properties>
</file>